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43D308D3-7BBE-4910-B5FF-B0C3D17FE0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Y71" i="1" l="1"/>
  <c r="T71" i="1"/>
  <c r="T69" i="1"/>
  <c r="Y69" i="1"/>
  <c r="AM75" i="1"/>
  <c r="AM71" i="1"/>
  <c r="AK71" i="1"/>
  <c r="W69" i="1"/>
  <c r="AA69" i="1"/>
  <c r="AC69" i="1"/>
  <c r="AG69" i="1"/>
  <c r="AJ69" i="1"/>
  <c r="AK69" i="1"/>
  <c r="AM69" i="1"/>
</calcChain>
</file>

<file path=xl/sharedStrings.xml><?xml version="1.0" encoding="utf-8"?>
<sst xmlns="http://schemas.openxmlformats.org/spreadsheetml/2006/main" count="1534" uniqueCount="458">
  <si>
    <t>Order Metadata</t>
  </si>
  <si>
    <t/>
  </si>
  <si>
    <t>Operations</t>
  </si>
  <si>
    <t>Operational Issues</t>
  </si>
  <si>
    <t>Income</t>
  </si>
  <si>
    <t>Deductions</t>
  </si>
  <si>
    <t>Payout</t>
  </si>
  <si>
    <t>Additional Information</t>
  </si>
  <si>
    <t>Restaurant name</t>
  </si>
  <si>
    <t>Order ID</t>
  </si>
  <si>
    <t>Restaurant ID</t>
  </si>
  <si>
    <t>Delivery Type</t>
  </si>
  <si>
    <t>Payment type</t>
  </si>
  <si>
    <t>Is Pro Order</t>
  </si>
  <si>
    <t>Restaurant Address</t>
  </si>
  <si>
    <t>Order status</t>
  </si>
  <si>
    <t>Order received at</t>
  </si>
  <si>
    <t>Accepted at</t>
  </si>
  <si>
    <t>Ready to pick up at</t>
  </si>
  <si>
    <t>Rider near pickup at</t>
  </si>
  <si>
    <t>In delivery at</t>
  </si>
  <si>
    <t>Delivered at</t>
  </si>
  <si>
    <t>Has Complaint?</t>
  </si>
  <si>
    <t>Complaint Reason</t>
  </si>
  <si>
    <t>Cancelled at</t>
  </si>
  <si>
    <t>Cancellation reason</t>
  </si>
  <si>
    <t>Cancellation owner</t>
  </si>
  <si>
    <t>Subtotal</t>
  </si>
  <si>
    <t>Minimum order value fee</t>
  </si>
  <si>
    <t>Vendor Refunds</t>
  </si>
  <si>
    <t>Tax Charge</t>
  </si>
  <si>
    <t>Online Payment Fee</t>
  </si>
  <si>
    <t>Discount Funded by Vendor</t>
  </si>
  <si>
    <t>Voucher Funded by Vendor</t>
  </si>
  <si>
    <t>Commission</t>
  </si>
  <si>
    <t>Vendor Charges</t>
  </si>
  <si>
    <t>Ads Fee</t>
  </si>
  <si>
    <t>Marketing Fees</t>
  </si>
  <si>
    <t>Is Payable</t>
  </si>
  <si>
    <t>Is Paid</t>
  </si>
  <si>
    <t>Estimated earnings</t>
  </si>
  <si>
    <t>Cash amount already collected by vendor</t>
  </si>
  <si>
    <t>Amount owed back to PedidosYa</t>
  </si>
  <si>
    <t>Payout Amount</t>
  </si>
  <si>
    <t>PedidosYa-Funded Discount</t>
  </si>
  <si>
    <t>PedidosYa-Funded Voucher</t>
  </si>
  <si>
    <t>Total Discount</t>
  </si>
  <si>
    <t>Total Voucher</t>
  </si>
  <si>
    <t>Tax Amount</t>
  </si>
  <si>
    <t>Order Items</t>
  </si>
  <si>
    <t>Astrobuns-san Miguel</t>
  </si>
  <si>
    <t>1806567126</t>
  </si>
  <si>
    <t>574857</t>
  </si>
  <si>
    <t>Platform delivery</t>
  </si>
  <si>
    <t>Online</t>
  </si>
  <si>
    <t>N</t>
  </si>
  <si>
    <t>Avenida Monseñor Jorge Dintilhac 515, 15087, San Miguel, Perú</t>
  </si>
  <si>
    <t>Delivered</t>
  </si>
  <si>
    <t>2025-12-01 14:07</t>
  </si>
  <si>
    <t>2025-12-01 14:08</t>
  </si>
  <si>
    <t>2025-12-01 14:16</t>
  </si>
  <si>
    <t>2025-12-01 14:24</t>
  </si>
  <si>
    <t>2025-12-01 14:32</t>
  </si>
  <si>
    <t>1 Astrocombo - Burger + Papas + Salsa [1 Special smash burger]</t>
  </si>
  <si>
    <t>1810291336</t>
  </si>
  <si>
    <t>2025-12-04 14:37</t>
  </si>
  <si>
    <t>2025-12-04 14:50</t>
  </si>
  <si>
    <t>2025-12-04 15:00</t>
  </si>
  <si>
    <t>1 Astrocombo - Burger + Papas + Salsa [1 Classic double cheese]</t>
  </si>
  <si>
    <t>1836863094</t>
  </si>
  <si>
    <t>Cancelled</t>
  </si>
  <si>
    <t>2025-12-23 19:55</t>
  </si>
  <si>
    <t>2025-12-23 19:56</t>
  </si>
  <si>
    <t>Vendor Closed</t>
  </si>
  <si>
    <t>Vendor</t>
  </si>
  <si>
    <t>1 1 double cheese + 1 bbq</t>
  </si>
  <si>
    <t>1836863454</t>
  </si>
  <si>
    <t>1 Full bacon combo [1 Papas con queso y tocino, 1 Coca-cola sin azúcar]</t>
  </si>
  <si>
    <t>1841458363</t>
  </si>
  <si>
    <t>2025-12-27 19:38</t>
  </si>
  <si>
    <t>1 Full bacon combo [1 Papas con queso, 1 Agua san mateo sin gas, 1 Extra carne, 1 Ketchup, 1 Mayonesa, 1 Salsa de la casa]</t>
  </si>
  <si>
    <t>Astrobuns-miraflores</t>
  </si>
  <si>
    <t>1836832134</t>
  </si>
  <si>
    <t>574900</t>
  </si>
  <si>
    <t>Calle General Suárez 386, 15074, Lima, Perú</t>
  </si>
  <si>
    <t>2025-12-23 20:00</t>
  </si>
  <si>
    <t>2025-12-23 20:04</t>
  </si>
  <si>
    <t>Unreachable</t>
  </si>
  <si>
    <t>1 Bbq smash burger</t>
  </si>
  <si>
    <t>1836925057</t>
  </si>
  <si>
    <t>2025-12-23 20:26</t>
  </si>
  <si>
    <t>1 Full bacon combo [1 Papas clásicas, 1 Coca-cola original, 1 Mayonesa]</t>
  </si>
  <si>
    <t>Astrobuns-miraflores 2</t>
  </si>
  <si>
    <t>1835825933</t>
  </si>
  <si>
    <t>574905</t>
  </si>
  <si>
    <t>Malecón de la Marina 1240, 15074, Miraflores, Perú</t>
  </si>
  <si>
    <t>2025-12-23 01:39</t>
  </si>
  <si>
    <t>2025-12-23 01:47</t>
  </si>
  <si>
    <t>1 Full bacon combo [1 Coca-cola sin azúcar, 1 Papas clásicas]</t>
  </si>
  <si>
    <t>1836736565</t>
  </si>
  <si>
    <t>2025-12-23 19:25</t>
  </si>
  <si>
    <t>2025-12-23 19:27</t>
  </si>
  <si>
    <t>1 Full bacon combo [1 Inka kola original, 1 Papas clásicas]</t>
  </si>
  <si>
    <t>1836737805</t>
  </si>
  <si>
    <t>2025-12-23 19:33</t>
  </si>
  <si>
    <t>1 2 special house smash burger</t>
  </si>
  <si>
    <t>1837189836</t>
  </si>
  <si>
    <t>2025-12-24 05:11</t>
  </si>
  <si>
    <t>2025-12-24 05:16</t>
  </si>
  <si>
    <t>2 Classic double cheese burger</t>
  </si>
  <si>
    <t>1838999631</t>
  </si>
  <si>
    <t>2025-12-25 23:08</t>
  </si>
  <si>
    <t>2025-12-25 23:13</t>
  </si>
  <si>
    <t>1 Bbq smash combo [1 Papas clásicas, 1 Coca-cola original]</t>
  </si>
  <si>
    <t>1839016391</t>
  </si>
  <si>
    <t>2025-12-25 23:58</t>
  </si>
  <si>
    <t>1 Full bacon combo [1 Mayonesa, 1 Ketchup, 1 Salsa de la casa, 1 Papas con queso, 1 Inka kola sin azúcar]</t>
  </si>
  <si>
    <t>1839017012</t>
  </si>
  <si>
    <t>2025-12-26 01:50</t>
  </si>
  <si>
    <t>1 Bbq smash burger [1 Inka Kola, 1 Mayonesa], 1 Cheesy bacon fries</t>
  </si>
  <si>
    <t>Astrobuns Smash Burgers</t>
  </si>
  <si>
    <t>1820941474</t>
  </si>
  <si>
    <t>589695</t>
  </si>
  <si>
    <t>Cash</t>
  </si>
  <si>
    <t>Calle Argentina 199, 15311, Lima, Perú</t>
  </si>
  <si>
    <t>2025-12-12 15:33</t>
  </si>
  <si>
    <t>2025-12-12 15:38</t>
  </si>
  <si>
    <t>2025-12-12 16:04</t>
  </si>
  <si>
    <t>2025-12-12 16:22</t>
  </si>
  <si>
    <t>2025-12-12 16:26</t>
  </si>
  <si>
    <t>2025-12-12 16:43</t>
  </si>
  <si>
    <t>1822125498</t>
  </si>
  <si>
    <t>2025-12-13 12:40</t>
  </si>
  <si>
    <t>2025-12-13 12:44</t>
  </si>
  <si>
    <t>Reason: Item not available</t>
  </si>
  <si>
    <t>1 Full bacon combo [1 Inka kola sin azúcar, 1 Papas con queso], 1 Special house + classic combo [1 Coca-cola sin azúcar, 1 Salsa de la casa, 1 Inka kola sin azúcar, 1 Papas clásicas, 1 Mayonesa, 1 Salsa de la casa, 1 Ketchup, 1 Ají de la casa, 1 Papas clásicas]</t>
  </si>
  <si>
    <t>1824684506</t>
  </si>
  <si>
    <t>2025-12-14 22:15</t>
  </si>
  <si>
    <t>2025-12-14 22:28</t>
  </si>
  <si>
    <t>2025-12-14 22:22</t>
  </si>
  <si>
    <t>2025-12-14 22:40</t>
  </si>
  <si>
    <t>1 Cheesy fries [1 Salsa cheddar], 1 Full bacon burger</t>
  </si>
  <si>
    <t>1827072826</t>
  </si>
  <si>
    <t>2025-12-16 21:26</t>
  </si>
  <si>
    <t>2025-12-16 21:39</t>
  </si>
  <si>
    <t>2025-12-16 21:44</t>
  </si>
  <si>
    <t>2025-12-16 21:51</t>
  </si>
  <si>
    <t>2025-12-16 22:27</t>
  </si>
  <si>
    <t>1 Special house burger combo [1 Coca-cola original, 1 Papas clásicas]</t>
  </si>
  <si>
    <t>1828321941</t>
  </si>
  <si>
    <t>2025-12-17 21:52</t>
  </si>
  <si>
    <t>2025-12-17 21:59</t>
  </si>
  <si>
    <t>2025-12-17 22:05</t>
  </si>
  <si>
    <t>2025-12-17 22:25</t>
  </si>
  <si>
    <t>1 Full bacon burger [1 Ají de la casa]</t>
  </si>
  <si>
    <t>1829795093</t>
  </si>
  <si>
    <t>2025-12-18 22:29</t>
  </si>
  <si>
    <t>2025-12-18 22:41</t>
  </si>
  <si>
    <t>2025-12-18 22:44</t>
  </si>
  <si>
    <t>2025-12-18 22:50</t>
  </si>
  <si>
    <t>2025-12-18 23:23</t>
  </si>
  <si>
    <t>1 Full bacon burger</t>
  </si>
  <si>
    <t>1834186324</t>
  </si>
  <si>
    <t>2025-12-21 19:48</t>
  </si>
  <si>
    <t>2025-12-21 20:01</t>
  </si>
  <si>
    <t>2025-12-21 20:26</t>
  </si>
  <si>
    <t xml:space="preserve">Customer cancelled; Order took longer than expected </t>
  </si>
  <si>
    <t>Rider</t>
  </si>
  <si>
    <t>1 Full bacon combo [1 Papas clásicas, 1 Agua san mateo sin gas, 1 Ketchup, 1 Mayonesa, 1 Salsa de la casa]</t>
  </si>
  <si>
    <t>1837109984</t>
  </si>
  <si>
    <t>2025-12-23 22:28</t>
  </si>
  <si>
    <t>2025-12-23 22:40</t>
  </si>
  <si>
    <t>2025-12-23 23:47</t>
  </si>
  <si>
    <t>No rider available</t>
  </si>
  <si>
    <t>1 Full bacon combo [1 Papas clásicas, 1 Coca-cola sin azúcar]</t>
  </si>
  <si>
    <t>1839533802</t>
  </si>
  <si>
    <t>2025-12-26 12:52</t>
  </si>
  <si>
    <t>2025-12-26 12:53</t>
  </si>
  <si>
    <t>2025-12-26 13:08</t>
  </si>
  <si>
    <t>2025-12-26 13:06</t>
  </si>
  <si>
    <t>2025-12-26 13:09</t>
  </si>
  <si>
    <t>2025-12-26 13:35</t>
  </si>
  <si>
    <t>1841647539</t>
  </si>
  <si>
    <t>2025-12-27 21:24</t>
  </si>
  <si>
    <t>2025-12-27 21:25</t>
  </si>
  <si>
    <t>2025-12-27 21:43</t>
  </si>
  <si>
    <t>2025-12-27 21:44</t>
  </si>
  <si>
    <t>2025-12-27 21:52</t>
  </si>
  <si>
    <t>1 Full bacon burger [1 Papas clasicas, 1 Papas con queso]</t>
  </si>
  <si>
    <t>1841704296</t>
  </si>
  <si>
    <t>2025-12-27 22:18</t>
  </si>
  <si>
    <t>2025-12-27 22:19</t>
  </si>
  <si>
    <t>2025-12-27 22:34</t>
  </si>
  <si>
    <t>2025-12-27 22:55</t>
  </si>
  <si>
    <t>2025-12-27 22:56</t>
  </si>
  <si>
    <t>2025-12-27 23:17</t>
  </si>
  <si>
    <t>1841706181</t>
  </si>
  <si>
    <t>2025-12-27 22:36</t>
  </si>
  <si>
    <t>2025-12-27 22:44</t>
  </si>
  <si>
    <t>2025-12-27 23:09</t>
  </si>
  <si>
    <t>1 Special house burger combo [1 Inka kola original, 1 Papas clásicas]</t>
  </si>
  <si>
    <t>1844680017</t>
  </si>
  <si>
    <t>2025-12-30 14:42</t>
  </si>
  <si>
    <t>2025-12-30 14:56</t>
  </si>
  <si>
    <t>2025-12-30 15:04</t>
  </si>
  <si>
    <t>2025-12-30 15:05</t>
  </si>
  <si>
    <t>2025-12-30 15:29</t>
  </si>
  <si>
    <t>Unable to find customer</t>
  </si>
  <si>
    <t>Customer</t>
  </si>
  <si>
    <t>1 Full bacon combo [1 Papas clásicas, 1 Coca-cola original]</t>
  </si>
  <si>
    <t>1845222510</t>
  </si>
  <si>
    <t>2025-12-30 20:36</t>
  </si>
  <si>
    <t>2025-12-30 20:46</t>
  </si>
  <si>
    <t>2025-12-30 20:52</t>
  </si>
  <si>
    <t>2025-12-30 20:54</t>
  </si>
  <si>
    <t>2025-12-30 21:26</t>
  </si>
  <si>
    <t>1845394749</t>
  </si>
  <si>
    <t>2025-12-30 22:04</t>
  </si>
  <si>
    <t>2025-12-30 22:15</t>
  </si>
  <si>
    <t>2025-12-30 22:13</t>
  </si>
  <si>
    <t>2025-12-30 22:16</t>
  </si>
  <si>
    <t>2025-12-30 23:06</t>
  </si>
  <si>
    <t>1 Classic double cheese burger [1 Ají de la casa], 1 Gaseosa Inca Kola Sin Azúcar 500 ml</t>
  </si>
  <si>
    <t>1845395788</t>
  </si>
  <si>
    <t>2025-12-30 22:21</t>
  </si>
  <si>
    <t>2025-12-30 22:30</t>
  </si>
  <si>
    <t>2025-12-30 22:37</t>
  </si>
  <si>
    <t>2025-12-30 22:38</t>
  </si>
  <si>
    <t>2025-12-30 22:55</t>
  </si>
  <si>
    <t>1 Classic double cheese burger, 1 Cheesy fries [1 Salsa cheddar]</t>
  </si>
  <si>
    <t>1846107603</t>
  </si>
  <si>
    <t>2025-12-31 16:15</t>
  </si>
  <si>
    <t>2025-12-31 16:19</t>
  </si>
  <si>
    <t>2025-12-31 16:31</t>
  </si>
  <si>
    <t>2025-12-31 16:57</t>
  </si>
  <si>
    <t>1 Classic double cheese burger [1 Extra tocino, 1 Ketchup, 1 Ají de la casa], 1 Classic fries, 1 Gaseosa Inca Kola 500 ml</t>
  </si>
  <si>
    <t>1846111948</t>
  </si>
  <si>
    <t>2025-12-31 16:51</t>
  </si>
  <si>
    <t>2025-12-31 17:06</t>
  </si>
  <si>
    <t>2025-12-31 17:13</t>
  </si>
  <si>
    <t>2025-12-31 17:15</t>
  </si>
  <si>
    <t>2025-12-31 17:32</t>
  </si>
  <si>
    <t>1 2 special house smash burger [1 Ají de la casa]</t>
  </si>
  <si>
    <t>Incheon - Comida Coreana</t>
  </si>
  <si>
    <t>1820992761</t>
  </si>
  <si>
    <t>589721</t>
  </si>
  <si>
    <t>2025-12-12 16:31</t>
  </si>
  <si>
    <t>2025-12-12 16:32</t>
  </si>
  <si>
    <t>2025-12-12 16:51</t>
  </si>
  <si>
    <t>2025-12-12 16:33</t>
  </si>
  <si>
    <t>2025-12-12 16:52</t>
  </si>
  <si>
    <t>2025-12-12 17:06</t>
  </si>
  <si>
    <t>1 Alitas de pollo dakdak (250 g) [1 Papas fritas]</t>
  </si>
  <si>
    <t>1822123037</t>
  </si>
  <si>
    <t>2025-12-13 12:28</t>
  </si>
  <si>
    <t>2025-12-13 12:29</t>
  </si>
  <si>
    <t>2025-12-13 12:32</t>
  </si>
  <si>
    <t>2025-12-13 12:36</t>
  </si>
  <si>
    <t>2025-12-13 12:50</t>
  </si>
  <si>
    <t>2025-12-13 13:04</t>
  </si>
  <si>
    <t>1 Tenders de pollo tradicionales de incheon (300 g) [1 Papas waffles, 1 Mayonesa]</t>
  </si>
  <si>
    <t>1822267031</t>
  </si>
  <si>
    <t>2025-12-13 13:50</t>
  </si>
  <si>
    <t>2025-12-13 14:15</t>
  </si>
  <si>
    <t>2025-12-13 14:17</t>
  </si>
  <si>
    <t>2025-12-13 14:18</t>
  </si>
  <si>
    <t>2025-12-13 14:23</t>
  </si>
  <si>
    <t>1 Combo- incheon tenders [1 Papas fritas, 1 Coca-cola, 1 Salsa dekdak], 1 Alitas de pollo gulao (250 g)</t>
  </si>
  <si>
    <t>1824491461</t>
  </si>
  <si>
    <t>2025-12-14 20:27</t>
  </si>
  <si>
    <t>2025-12-14 20:28</t>
  </si>
  <si>
    <t>2025-12-14 20:36</t>
  </si>
  <si>
    <t>2025-12-14 20:49</t>
  </si>
  <si>
    <t>2025-12-14 21:09</t>
  </si>
  <si>
    <t>1 Dakdak tenders de pollo (300 g) [1 Papas fritas], 1 Gulao tenders de pollo (300 g) [1 Papas fritas], 1 Aji de la casa</t>
  </si>
  <si>
    <t>1826239880</t>
  </si>
  <si>
    <t>2025-12-16 12:02</t>
  </si>
  <si>
    <t>2025-12-16 12:03</t>
  </si>
  <si>
    <t>2025-12-16 12:13</t>
  </si>
  <si>
    <t>2025-12-16 12:26</t>
  </si>
  <si>
    <t>2025-12-16 12:41</t>
  </si>
  <si>
    <t>1 Tenders de pollo tradicionales de incheon (300 g) [1 Mayonesa, 1 Ketchup], 1 Alitas de pollo dakdak (250 g), 1 Alitas de pollo tradicionales de Incheon (250 g), 1 Papas fritas tradicionales</t>
  </si>
  <si>
    <t>1827504017</t>
  </si>
  <si>
    <t>2025-12-17 12:25</t>
  </si>
  <si>
    <t>2025-12-17 12:41</t>
  </si>
  <si>
    <t>2025-12-17 12:27</t>
  </si>
  <si>
    <t>2025-12-17 12:42</t>
  </si>
  <si>
    <t>2025-12-17 13:02</t>
  </si>
  <si>
    <t>1 Alitas tradicional (300g) [1 Papas fritas, 1 Mayonesa]</t>
  </si>
  <si>
    <t>1827543065</t>
  </si>
  <si>
    <t>2025-12-17 12:43</t>
  </si>
  <si>
    <t>2025-12-17 13:07</t>
  </si>
  <si>
    <t>2025-12-17 13:18</t>
  </si>
  <si>
    <t>2025-12-17 13:19</t>
  </si>
  <si>
    <t>2025-12-17 13:50</t>
  </si>
  <si>
    <t>1 Combo- incheon tenders [1 Papas fritas, 1 Coca-Cola zero, 1 Salsa gulao]</t>
  </si>
  <si>
    <t>1828406048</t>
  </si>
  <si>
    <t>2025-12-17 23:17</t>
  </si>
  <si>
    <t>2025-12-17 23:18</t>
  </si>
  <si>
    <t>1 Combo- incheon tenders [1 Papas fritas, 1 Inka Cola zero, 1 Salsa gulao]</t>
  </si>
  <si>
    <t>1829573587</t>
  </si>
  <si>
    <t>2025-12-18 20:20</t>
  </si>
  <si>
    <t>2025-12-18 20:38</t>
  </si>
  <si>
    <t>2025-12-18 20:33</t>
  </si>
  <si>
    <t>2025-12-18 20:39</t>
  </si>
  <si>
    <t>2025-12-18 20:57</t>
  </si>
  <si>
    <t>1 Alitas de pollo dakdak (250 g), 1 Alitas de pollo gulao (250 g), 1 Papas fritas tradicionales, 2 Aji de la casa</t>
  </si>
  <si>
    <t>1830459029</t>
  </si>
  <si>
    <t>2025-12-19 14:51</t>
  </si>
  <si>
    <t>2025-12-19 14:56</t>
  </si>
  <si>
    <t>2025-12-19 15:09</t>
  </si>
  <si>
    <t>2025-12-19 15:32</t>
  </si>
  <si>
    <t>1 Dakdak tenders de pollo(300 g), 1 Gulao tenders de pollo (300 g), 2 Aji de la casa</t>
  </si>
  <si>
    <t>1832673793</t>
  </si>
  <si>
    <t>2025-12-20 20:51</t>
  </si>
  <si>
    <t>2025-12-20 21:09</t>
  </si>
  <si>
    <t>2025-12-20 21:38</t>
  </si>
  <si>
    <t>2025-12-20 21:41</t>
  </si>
  <si>
    <t>2025-12-20 22:09</t>
  </si>
  <si>
    <t>1 Dakdak tenders de pollo(300 g), 1 Gulao tenders de pollo (300 g) [1 Papas waffles]</t>
  </si>
  <si>
    <t>1834414225</t>
  </si>
  <si>
    <t>2025-12-21 21:39</t>
  </si>
  <si>
    <t>2025-12-21 21:53</t>
  </si>
  <si>
    <t>2025-12-21 22:06</t>
  </si>
  <si>
    <t>2025-12-21 22:07</t>
  </si>
  <si>
    <t>2025-12-21 22:18</t>
  </si>
  <si>
    <t>1 Dakdak tenders de pollo(300 g), 1 Gulao tenders de pollo (300 g)</t>
  </si>
  <si>
    <t>1836155324</t>
  </si>
  <si>
    <t>2025-12-23 11:41</t>
  </si>
  <si>
    <t>2025-12-23 11:50</t>
  </si>
  <si>
    <t>2025-12-23 11:59</t>
  </si>
  <si>
    <t>2025-12-23 12:17</t>
  </si>
  <si>
    <t>Y</t>
  </si>
  <si>
    <t>plugins.reports.order_details_report.food_quality, customer_complaint</t>
  </si>
  <si>
    <t>1 Combo- incheon tenders [1 Papas fritas, 1 Coca-Cola zero, 1 Salsa dekdak, 1 Salsa gulao], 1 Alitas de pollo dakdak (250 g) [1 Papas fritas]</t>
  </si>
  <si>
    <t>1836251149</t>
  </si>
  <si>
    <t>2025-12-23 12:36</t>
  </si>
  <si>
    <t>2025-12-23 12:45</t>
  </si>
  <si>
    <t>2025-12-23 12:52</t>
  </si>
  <si>
    <t>2025-12-23 12:53</t>
  </si>
  <si>
    <t>2025-12-23 13:14</t>
  </si>
  <si>
    <t>1837091378</t>
  </si>
  <si>
    <t>2025-12-23 21:41</t>
  </si>
  <si>
    <t>2025-12-23 21:42</t>
  </si>
  <si>
    <t>2025-12-23 21:53</t>
  </si>
  <si>
    <t>2025-12-23 22:03</t>
  </si>
  <si>
    <t>2025-12-23 22:05</t>
  </si>
  <si>
    <t>2025-12-23 22:30</t>
  </si>
  <si>
    <t>1 Dakdak tenders de pollo(300 g) [1 Papas fritas, 1 Coca-cola]</t>
  </si>
  <si>
    <t>1837700956</t>
  </si>
  <si>
    <t>2025-12-24 13:03</t>
  </si>
  <si>
    <t>2025-12-24 13:15</t>
  </si>
  <si>
    <t>2025-12-24 13:19</t>
  </si>
  <si>
    <t>2025-12-24 13:20</t>
  </si>
  <si>
    <t>2025-12-24 13:34</t>
  </si>
  <si>
    <t>1 Gulao tenders de pollo (300 g)</t>
  </si>
  <si>
    <t>1839598704</t>
  </si>
  <si>
    <t>2025-12-26 13:50</t>
  </si>
  <si>
    <t>2025-12-26 14:01</t>
  </si>
  <si>
    <t>2025-12-26 13:54</t>
  </si>
  <si>
    <t>2025-12-26 14:02</t>
  </si>
  <si>
    <t>2025-12-26 14:13</t>
  </si>
  <si>
    <t>1 Combo- incheon tenders [1 Salsa dekdak, 1 Papas fritas, 1 Inca kola]</t>
  </si>
  <si>
    <t>1839601557</t>
  </si>
  <si>
    <t>2025-12-26 14:11</t>
  </si>
  <si>
    <t>2025-12-26 14:22</t>
  </si>
  <si>
    <t>2025-12-26 14:14</t>
  </si>
  <si>
    <t>2025-12-26 14:23</t>
  </si>
  <si>
    <t>2025-12-26 14:44</t>
  </si>
  <si>
    <t>1 Dakdak tenders de pollo(300 g) [1 Papas fritas, 1 Coca-cola], 1 Aji de la casa</t>
  </si>
  <si>
    <t>1840671295</t>
  </si>
  <si>
    <t>2025-12-27 11:16</t>
  </si>
  <si>
    <t>2025-12-27 11:33</t>
  </si>
  <si>
    <t>2025-12-27 11:34</t>
  </si>
  <si>
    <t>2025-12-27 11:54</t>
  </si>
  <si>
    <t>1 Alitas de pollo dakdak (250 g)</t>
  </si>
  <si>
    <t>1842666388</t>
  </si>
  <si>
    <t>2025-12-28 18:52</t>
  </si>
  <si>
    <t>2025-12-28 18:53</t>
  </si>
  <si>
    <t>2025-12-28 19:05</t>
  </si>
  <si>
    <t>2025-12-28 19:07</t>
  </si>
  <si>
    <t>1 Dakdak tenders de pollo(300 g) [1 Coca-Cola zero]</t>
  </si>
  <si>
    <t>1842885639</t>
  </si>
  <si>
    <t>2025-12-28 20:29</t>
  </si>
  <si>
    <t>2025-12-28 20:45</t>
  </si>
  <si>
    <t>2025-12-28 20:49</t>
  </si>
  <si>
    <t>Outside Service Hours</t>
  </si>
  <si>
    <t>1 Dakdak tenders de pollo(300 g) [1 Papas fritas], 1 Gulao tenders de pollo (300 g) [1 Papas fritas], 1 Alitas de pollo gulao (250 g)</t>
  </si>
  <si>
    <t>1844561938</t>
  </si>
  <si>
    <t>2025-12-30 13:07</t>
  </si>
  <si>
    <t>2025-12-30 13:08</t>
  </si>
  <si>
    <t>2025-12-30 13:19</t>
  </si>
  <si>
    <t>2025-12-30 13:14</t>
  </si>
  <si>
    <t>2025-12-30 13:20</t>
  </si>
  <si>
    <t>2025-12-30 13:36</t>
  </si>
  <si>
    <t>1 Combo- incheon tenders [1 Papas fritas, 1 Coca-cola, 1 Salsa dekdak]</t>
  </si>
  <si>
    <t>1844609759</t>
  </si>
  <si>
    <t>2025-12-30 13:52</t>
  </si>
  <si>
    <t>2025-12-30 13:53</t>
  </si>
  <si>
    <t>2025-12-30 14:06</t>
  </si>
  <si>
    <t>2025-12-30 13:56</t>
  </si>
  <si>
    <t>2025-12-30 14:08</t>
  </si>
  <si>
    <t>2025-12-30 14:25</t>
  </si>
  <si>
    <t>1 Alitas tradicional (300g) [1 Papas fritas]</t>
  </si>
  <si>
    <t>1845106086</t>
  </si>
  <si>
    <t>2025-12-30 20:02</t>
  </si>
  <si>
    <t>2025-12-30 20:18</t>
  </si>
  <si>
    <t>2025-12-30 20:05</t>
  </si>
  <si>
    <t>2025-12-30 20:19</t>
  </si>
  <si>
    <t>2025-12-30 20:42</t>
  </si>
  <si>
    <t>1 Dakdak tenders de pollo(300 g) [1 Papas fritas], 1 Tenders pollo tradicion(300 g), 1 Alitas de pollo dakdak (250 g) [1 Papas fritas]</t>
  </si>
  <si>
    <t>1845932481</t>
  </si>
  <si>
    <t>2025-12-31 13:59</t>
  </si>
  <si>
    <t>2025-12-31 14:22</t>
  </si>
  <si>
    <t>2025-12-31 14:01</t>
  </si>
  <si>
    <t>2025-12-31 14:23</t>
  </si>
  <si>
    <t>2025-12-31 14:38</t>
  </si>
  <si>
    <t>1 Combo- incheon tenders [1 Salsa gulao, 1 Salsa dekdak, 1 Papas fritas, 1 Coca-cola], 1 Tenders pollo tradicion(300 g) [1 Ketchup, 1 Mayonesa], 1 Alitas de pollo gulao (250 g), 1 Papas fritas tradicionales, 1 Aji de la casa</t>
  </si>
  <si>
    <t>1846053988</t>
  </si>
  <si>
    <t>2025-12-31 15:48</t>
  </si>
  <si>
    <t>2025-12-31 16:07</t>
  </si>
  <si>
    <t>2025-12-31 15:51</t>
  </si>
  <si>
    <t>2025-12-31 16:08</t>
  </si>
  <si>
    <t>1 Gulao tenders de pollo (300 g), 1 Alitas de pollo dakdak (250 g) [1 Papas fritas], 1 Alitas tradicional (300g) [1 Papas fritas, 1 Mayonesa, 1 Ketchup]</t>
  </si>
  <si>
    <t>1846149668</t>
  </si>
  <si>
    <t>2025-12-31 17:55</t>
  </si>
  <si>
    <t>2025-12-31 18:14</t>
  </si>
  <si>
    <t>2025-12-31 18:17</t>
  </si>
  <si>
    <t>2025-12-31 18:18</t>
  </si>
  <si>
    <t>2025-12-31 18:38</t>
  </si>
  <si>
    <t>3 Alitas de pollo dakdak (250 g) [1 Papas fritas], 1 Aji de la casa</t>
  </si>
  <si>
    <t>1846179846</t>
  </si>
  <si>
    <t>2025-12-31 19:01</t>
  </si>
  <si>
    <t>2025-12-31 19:11</t>
  </si>
  <si>
    <t>2025-12-31 19:08</t>
  </si>
  <si>
    <t>2025-12-31 19:22</t>
  </si>
  <si>
    <t>1 Gulao tenders de pollo (300 g) [1 Papas fritas, 1 Inca kola], 1 Aji de la casa</t>
  </si>
  <si>
    <t>1846181214</t>
  </si>
  <si>
    <t>2025-12-31 19:20</t>
  </si>
  <si>
    <t>2025-12-31 19:33</t>
  </si>
  <si>
    <t>2025-12-31 19:39</t>
  </si>
  <si>
    <t>2025-12-31 19:42</t>
  </si>
  <si>
    <t>2025-12-31 19:52</t>
  </si>
  <si>
    <t>1 Gulao tenders de pollo (300 g), 1 Gulao tenders de pollo (300 g)</t>
  </si>
  <si>
    <t>1846185888</t>
  </si>
  <si>
    <t>2025-12-31 20:17</t>
  </si>
  <si>
    <t>2025-12-31 20:25</t>
  </si>
  <si>
    <t>2025-12-31 20:26</t>
  </si>
  <si>
    <t>2025-12-31 20:27</t>
  </si>
  <si>
    <t>2025-12-31 20:37</t>
  </si>
  <si>
    <t>1 Dakdak tenders de pollo(300 g) [1 Papas fritas], 1 Mayonesa</t>
  </si>
  <si>
    <t>1846213349</t>
  </si>
  <si>
    <t>2025-12-31 19:36</t>
  </si>
  <si>
    <t>2025-12-31 19:54</t>
  </si>
  <si>
    <t>2025-12-31 19:55</t>
  </si>
  <si>
    <t>2025-12-31 20:09</t>
  </si>
  <si>
    <t>1 Dakdak tenders de pollo(300 g), 1 Gulao tenders de pollo (300 g), 1 Alitas tradicional (300g) [1 Mayonesa, 1 Ketchup, 1 Papas fritas]</t>
  </si>
  <si>
    <t>Promociones en artículos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</si>
</sst>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3D6"/>
      </patternFill>
    </fill>
    <fill>
      <patternFill patternType="solid">
        <fgColor rgb="FFDCEBF7"/>
      </patternFill>
    </fill>
    <fill>
      <patternFill patternType="solid">
        <fgColor rgb="FFE2EFDA"/>
      </patternFill>
    </fill>
    <fill>
      <patternFill patternType="solid">
        <fgColor rgb="FFD6DCE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5"/>
      </patternFill>
    </fill>
  </fills>
  <borders count="3">
    <border>
      <left/>
      <right/>
      <top/>
      <bottom/>
      <diagonal/>
    </border>
    <border>
      <left/>
      <right style="thin">
        <color rgb="FFE2E3E3"/>
      </right>
      <top/>
      <bottom style="thin">
        <color rgb="FFE2E3E3"/>
      </bottom>
      <diagonal/>
    </border>
    <border>
      <left style="thin">
        <color rgb="FFE2E3E3"/>
      </left>
      <right style="thin">
        <color rgb="FFE2E3E3"/>
      </right>
      <top/>
      <bottom style="thin">
        <color rgb="FFE2E3E3"/>
      </bottom>
      <diagonal/>
    </border>
  </borders>
  <cellStyleXfs count="4">
    <xf numFmtId="0" fontId="0" fillId="0" borderId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1" fillId="9" borderId="0" applyNumberFormat="0" applyBorder="0" applyAlignment="0" applyProtection="0"/>
  </cellStyleXfs>
  <cellXfs count="16">
    <xf numFmtId="0" fontId="0" fillId="0" borderId="0" xfId="0"/>
    <xf numFmtId="0" fontId="0" fillId="5" borderId="2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2" fillId="7" borderId="0" xfId="1"/>
    <xf numFmtId="0" fontId="3" fillId="8" borderId="0" xfId="2"/>
    <xf numFmtId="0" fontId="1" fillId="9" borderId="0" xfId="3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4">
    <cellStyle name="60% - Énfasis4" xfId="3" builtinId="44"/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5"/>
  <sheetViews>
    <sheetView tabSelected="1" zoomScale="70" zoomScaleNormal="70" workbookViewId="0">
      <selection activeCell="A40" sqref="A40"/>
    </sheetView>
  </sheetViews>
  <sheetFormatPr baseColWidth="10" defaultColWidth="9.140625" defaultRowHeight="15" x14ac:dyDescent="0.25"/>
  <cols>
    <col min="1" max="42" width="30.7109375" customWidth="1"/>
  </cols>
  <sheetData>
    <row r="1" spans="1:42" x14ac:dyDescent="0.25">
      <c r="A1" s="11" t="s">
        <v>0</v>
      </c>
      <c r="B1" s="11" t="s">
        <v>1</v>
      </c>
      <c r="C1" s="11" t="s">
        <v>1</v>
      </c>
      <c r="D1" s="11" t="s">
        <v>1</v>
      </c>
      <c r="E1" s="11" t="s">
        <v>1</v>
      </c>
      <c r="F1" s="11" t="s">
        <v>1</v>
      </c>
      <c r="G1" s="11" t="s">
        <v>1</v>
      </c>
      <c r="H1" s="12" t="s">
        <v>2</v>
      </c>
      <c r="I1" s="11" t="s">
        <v>1</v>
      </c>
      <c r="J1" s="11" t="s">
        <v>1</v>
      </c>
      <c r="K1" s="11" t="s">
        <v>1</v>
      </c>
      <c r="L1" s="11" t="s">
        <v>1</v>
      </c>
      <c r="M1" s="11" t="s">
        <v>1</v>
      </c>
      <c r="N1" s="11" t="s">
        <v>1</v>
      </c>
      <c r="O1" s="13" t="s">
        <v>3</v>
      </c>
      <c r="P1" s="11" t="s">
        <v>1</v>
      </c>
      <c r="Q1" s="11" t="s">
        <v>1</v>
      </c>
      <c r="R1" s="11" t="s">
        <v>1</v>
      </c>
      <c r="S1" s="11" t="s">
        <v>1</v>
      </c>
      <c r="T1" s="14" t="s">
        <v>4</v>
      </c>
      <c r="U1" s="11" t="s">
        <v>1</v>
      </c>
      <c r="V1" s="11" t="s">
        <v>1</v>
      </c>
      <c r="W1" s="15" t="s">
        <v>5</v>
      </c>
      <c r="X1" s="11" t="s">
        <v>1</v>
      </c>
      <c r="Y1" s="11" t="s">
        <v>1</v>
      </c>
      <c r="Z1" s="11" t="s">
        <v>1</v>
      </c>
      <c r="AA1" s="11" t="s">
        <v>1</v>
      </c>
      <c r="AB1" s="11" t="s">
        <v>1</v>
      </c>
      <c r="AC1" s="11" t="s">
        <v>1</v>
      </c>
      <c r="AD1" s="11" t="s">
        <v>1</v>
      </c>
      <c r="AE1" s="10" t="s">
        <v>6</v>
      </c>
      <c r="AF1" s="11" t="s">
        <v>1</v>
      </c>
      <c r="AG1" s="11" t="s">
        <v>1</v>
      </c>
      <c r="AH1" s="11" t="s">
        <v>1</v>
      </c>
      <c r="AI1" s="11" t="s">
        <v>1</v>
      </c>
      <c r="AJ1" s="11" t="s">
        <v>1</v>
      </c>
      <c r="AK1" s="12" t="s">
        <v>7</v>
      </c>
      <c r="AL1" s="11" t="s">
        <v>1</v>
      </c>
      <c r="AM1" s="11" t="s">
        <v>1</v>
      </c>
      <c r="AN1" s="11" t="s">
        <v>1</v>
      </c>
      <c r="AO1" s="11" t="s">
        <v>1</v>
      </c>
      <c r="AP1" s="11" t="s">
        <v>1</v>
      </c>
    </row>
    <row r="2" spans="1:42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3" t="s">
        <v>22</v>
      </c>
      <c r="P2" s="3" t="s">
        <v>23</v>
      </c>
      <c r="Q2" s="3" t="s">
        <v>24</v>
      </c>
      <c r="R2" s="3" t="s">
        <v>25</v>
      </c>
      <c r="S2" s="3" t="s">
        <v>26</v>
      </c>
      <c r="T2" s="5" t="s">
        <v>27</v>
      </c>
      <c r="U2" s="5" t="s">
        <v>28</v>
      </c>
      <c r="V2" s="5" t="s">
        <v>29</v>
      </c>
      <c r="W2" s="6" t="s">
        <v>30</v>
      </c>
      <c r="X2" s="6" t="s">
        <v>31</v>
      </c>
      <c r="Y2" s="6" t="s">
        <v>32</v>
      </c>
      <c r="Z2" s="6" t="s">
        <v>33</v>
      </c>
      <c r="AA2" s="6" t="s">
        <v>34</v>
      </c>
      <c r="AB2" s="6" t="s">
        <v>35</v>
      </c>
      <c r="AC2" s="6" t="s">
        <v>36</v>
      </c>
      <c r="AD2" s="6" t="s">
        <v>37</v>
      </c>
      <c r="AE2" s="4" t="s">
        <v>38</v>
      </c>
      <c r="AF2" s="4" t="s">
        <v>39</v>
      </c>
      <c r="AG2" s="4" t="s">
        <v>40</v>
      </c>
      <c r="AH2" s="4" t="s">
        <v>41</v>
      </c>
      <c r="AI2" s="4" t="s">
        <v>42</v>
      </c>
      <c r="AJ2" s="4" t="s">
        <v>43</v>
      </c>
      <c r="AK2" s="2" t="s">
        <v>44</v>
      </c>
      <c r="AL2" s="2" t="s">
        <v>45</v>
      </c>
      <c r="AM2" s="2" t="s">
        <v>46</v>
      </c>
      <c r="AN2" s="2" t="s">
        <v>47</v>
      </c>
      <c r="AO2" s="2" t="s">
        <v>48</v>
      </c>
      <c r="AP2" s="2" t="s">
        <v>49</v>
      </c>
    </row>
    <row r="3" spans="1:42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1</v>
      </c>
      <c r="L3" t="s">
        <v>60</v>
      </c>
      <c r="M3" t="s">
        <v>61</v>
      </c>
      <c r="N3" t="s">
        <v>62</v>
      </c>
      <c r="O3" t="s">
        <v>55</v>
      </c>
      <c r="P3" t="s">
        <v>1</v>
      </c>
      <c r="Q3" t="s">
        <v>1</v>
      </c>
      <c r="R3" t="s">
        <v>1</v>
      </c>
      <c r="S3" t="s">
        <v>1</v>
      </c>
      <c r="T3">
        <v>35</v>
      </c>
      <c r="U3">
        <v>0</v>
      </c>
      <c r="V3">
        <v>0</v>
      </c>
      <c r="W3">
        <v>1.26</v>
      </c>
      <c r="X3">
        <v>0</v>
      </c>
      <c r="Y3">
        <v>0</v>
      </c>
      <c r="Z3">
        <v>0</v>
      </c>
      <c r="AA3">
        <v>7</v>
      </c>
      <c r="AB3">
        <v>0</v>
      </c>
      <c r="AC3">
        <v>0</v>
      </c>
      <c r="AD3" t="s">
        <v>1</v>
      </c>
      <c r="AE3" t="s">
        <v>1</v>
      </c>
      <c r="AF3" t="s">
        <v>1</v>
      </c>
      <c r="AG3">
        <v>26.74</v>
      </c>
      <c r="AH3">
        <v>0</v>
      </c>
      <c r="AI3">
        <v>0</v>
      </c>
      <c r="AJ3">
        <v>26.74</v>
      </c>
      <c r="AK3">
        <v>7.38</v>
      </c>
      <c r="AL3">
        <v>0</v>
      </c>
      <c r="AM3">
        <v>7.38</v>
      </c>
      <c r="AN3">
        <v>0</v>
      </c>
      <c r="AO3">
        <v>0</v>
      </c>
      <c r="AP3" t="s">
        <v>63</v>
      </c>
    </row>
    <row r="4" spans="1:42" x14ac:dyDescent="0.25">
      <c r="A4" t="s">
        <v>50</v>
      </c>
      <c r="B4" t="s">
        <v>64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65</v>
      </c>
      <c r="J4" t="s">
        <v>65</v>
      </c>
      <c r="K4" t="s">
        <v>66</v>
      </c>
      <c r="L4" t="s">
        <v>65</v>
      </c>
      <c r="M4" t="s">
        <v>66</v>
      </c>
      <c r="N4" t="s">
        <v>67</v>
      </c>
      <c r="O4" t="s">
        <v>55</v>
      </c>
      <c r="P4" t="s">
        <v>1</v>
      </c>
      <c r="Q4" t="s">
        <v>1</v>
      </c>
      <c r="R4" t="s">
        <v>1</v>
      </c>
      <c r="S4" t="s">
        <v>1</v>
      </c>
      <c r="T4">
        <v>35</v>
      </c>
      <c r="U4">
        <v>0</v>
      </c>
      <c r="V4">
        <v>0</v>
      </c>
      <c r="W4">
        <v>1.26</v>
      </c>
      <c r="X4">
        <v>0</v>
      </c>
      <c r="Y4">
        <v>0</v>
      </c>
      <c r="Z4">
        <v>0</v>
      </c>
      <c r="AA4">
        <v>7</v>
      </c>
      <c r="AB4">
        <v>0</v>
      </c>
      <c r="AC4">
        <v>0</v>
      </c>
      <c r="AD4" t="s">
        <v>1</v>
      </c>
      <c r="AE4" t="s">
        <v>1</v>
      </c>
      <c r="AF4" t="s">
        <v>1</v>
      </c>
      <c r="AG4">
        <v>26.74</v>
      </c>
      <c r="AH4">
        <v>0</v>
      </c>
      <c r="AI4">
        <v>0</v>
      </c>
      <c r="AJ4">
        <v>26.74</v>
      </c>
      <c r="AK4">
        <v>0</v>
      </c>
      <c r="AL4">
        <v>0</v>
      </c>
      <c r="AM4">
        <v>0</v>
      </c>
      <c r="AN4">
        <v>0</v>
      </c>
      <c r="AO4">
        <v>0</v>
      </c>
      <c r="AP4" t="s">
        <v>68</v>
      </c>
    </row>
    <row r="5" spans="1:42" x14ac:dyDescent="0.25">
      <c r="A5" t="s">
        <v>50</v>
      </c>
      <c r="B5" t="s">
        <v>69</v>
      </c>
      <c r="C5" t="s">
        <v>52</v>
      </c>
      <c r="D5" t="s">
        <v>53</v>
      </c>
      <c r="E5" t="s">
        <v>1</v>
      </c>
      <c r="F5" t="s">
        <v>55</v>
      </c>
      <c r="G5" t="s">
        <v>56</v>
      </c>
      <c r="H5" t="s">
        <v>70</v>
      </c>
      <c r="I5" t="s">
        <v>71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55</v>
      </c>
      <c r="P5" t="s">
        <v>1</v>
      </c>
      <c r="Q5" t="s">
        <v>72</v>
      </c>
      <c r="R5" t="s">
        <v>73</v>
      </c>
      <c r="S5" t="s">
        <v>74</v>
      </c>
      <c r="T5">
        <v>54.9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1</v>
      </c>
      <c r="AE5" t="s">
        <v>1</v>
      </c>
      <c r="AF5" t="s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19.899999999999999</v>
      </c>
      <c r="AN5">
        <v>0</v>
      </c>
      <c r="AO5">
        <v>0</v>
      </c>
      <c r="AP5" t="s">
        <v>75</v>
      </c>
    </row>
    <row r="6" spans="1:42" x14ac:dyDescent="0.25">
      <c r="A6" t="s">
        <v>50</v>
      </c>
      <c r="B6" t="s">
        <v>76</v>
      </c>
      <c r="C6" t="s">
        <v>52</v>
      </c>
      <c r="D6" t="s">
        <v>53</v>
      </c>
      <c r="E6" t="s">
        <v>1</v>
      </c>
      <c r="F6" t="s">
        <v>55</v>
      </c>
      <c r="G6" t="s">
        <v>56</v>
      </c>
      <c r="H6" t="s">
        <v>70</v>
      </c>
      <c r="I6" t="s">
        <v>72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55</v>
      </c>
      <c r="P6" t="s">
        <v>1</v>
      </c>
      <c r="Q6" t="s">
        <v>72</v>
      </c>
      <c r="R6" t="s">
        <v>73</v>
      </c>
      <c r="S6" t="s">
        <v>74</v>
      </c>
      <c r="T6">
        <v>42.9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1</v>
      </c>
      <c r="AE6" t="s">
        <v>1</v>
      </c>
      <c r="AF6" t="s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14.9</v>
      </c>
      <c r="AN6">
        <v>0</v>
      </c>
      <c r="AO6">
        <v>0</v>
      </c>
      <c r="AP6" t="s">
        <v>77</v>
      </c>
    </row>
    <row r="7" spans="1:42" x14ac:dyDescent="0.25">
      <c r="A7" t="s">
        <v>50</v>
      </c>
      <c r="B7" t="s">
        <v>78</v>
      </c>
      <c r="C7" t="s">
        <v>52</v>
      </c>
      <c r="D7" t="s">
        <v>53</v>
      </c>
      <c r="E7" t="s">
        <v>1</v>
      </c>
      <c r="F7" t="s">
        <v>55</v>
      </c>
      <c r="G7" t="s">
        <v>56</v>
      </c>
      <c r="H7" t="s">
        <v>70</v>
      </c>
      <c r="I7" t="s">
        <v>79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55</v>
      </c>
      <c r="P7" t="s">
        <v>1</v>
      </c>
      <c r="Q7" t="s">
        <v>79</v>
      </c>
      <c r="R7" t="s">
        <v>73</v>
      </c>
      <c r="S7" t="s">
        <v>74</v>
      </c>
      <c r="T7">
        <v>45.9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1</v>
      </c>
      <c r="AE7" t="s">
        <v>1</v>
      </c>
      <c r="AF7" t="s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14</v>
      </c>
      <c r="AN7">
        <v>0</v>
      </c>
      <c r="AO7">
        <v>0</v>
      </c>
      <c r="AP7" t="s">
        <v>80</v>
      </c>
    </row>
    <row r="8" spans="1:42" x14ac:dyDescent="0.25">
      <c r="A8" t="s">
        <v>81</v>
      </c>
      <c r="B8" t="s">
        <v>82</v>
      </c>
      <c r="C8" t="s">
        <v>83</v>
      </c>
      <c r="D8" t="s">
        <v>53</v>
      </c>
      <c r="E8" t="s">
        <v>1</v>
      </c>
      <c r="F8" t="s">
        <v>55</v>
      </c>
      <c r="G8" t="s">
        <v>84</v>
      </c>
      <c r="H8" t="s">
        <v>70</v>
      </c>
      <c r="I8" t="s">
        <v>1</v>
      </c>
      <c r="J8" t="s">
        <v>1</v>
      </c>
      <c r="K8" t="s">
        <v>1</v>
      </c>
      <c r="L8" t="s">
        <v>85</v>
      </c>
      <c r="M8" t="s">
        <v>1</v>
      </c>
      <c r="N8" t="s">
        <v>1</v>
      </c>
      <c r="O8" t="s">
        <v>55</v>
      </c>
      <c r="P8" t="s">
        <v>1</v>
      </c>
      <c r="Q8" t="s">
        <v>86</v>
      </c>
      <c r="R8" t="s">
        <v>87</v>
      </c>
      <c r="S8" t="s">
        <v>74</v>
      </c>
      <c r="T8">
        <v>27.9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1</v>
      </c>
      <c r="AE8" t="s">
        <v>1</v>
      </c>
      <c r="AF8" t="s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7.9</v>
      </c>
      <c r="AN8">
        <v>0</v>
      </c>
      <c r="AO8">
        <v>0</v>
      </c>
      <c r="AP8" t="s">
        <v>88</v>
      </c>
    </row>
    <row r="9" spans="1:42" x14ac:dyDescent="0.25">
      <c r="A9" t="s">
        <v>81</v>
      </c>
      <c r="B9" t="s">
        <v>89</v>
      </c>
      <c r="C9" t="s">
        <v>83</v>
      </c>
      <c r="D9" t="s">
        <v>53</v>
      </c>
      <c r="E9" t="s">
        <v>1</v>
      </c>
      <c r="F9" t="s">
        <v>55</v>
      </c>
      <c r="G9" t="s">
        <v>84</v>
      </c>
      <c r="H9" t="s">
        <v>70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55</v>
      </c>
      <c r="P9" t="s">
        <v>1</v>
      </c>
      <c r="Q9" t="s">
        <v>90</v>
      </c>
      <c r="R9" t="s">
        <v>87</v>
      </c>
      <c r="S9" t="s">
        <v>74</v>
      </c>
      <c r="T9">
        <v>36.9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1</v>
      </c>
      <c r="AE9" t="s">
        <v>1</v>
      </c>
      <c r="AF9" t="s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9</v>
      </c>
      <c r="AN9">
        <v>0</v>
      </c>
      <c r="AO9">
        <v>0</v>
      </c>
      <c r="AP9" t="s">
        <v>91</v>
      </c>
    </row>
    <row r="10" spans="1:42" x14ac:dyDescent="0.25">
      <c r="A10" t="s">
        <v>92</v>
      </c>
      <c r="B10" t="s">
        <v>93</v>
      </c>
      <c r="C10" t="s">
        <v>94</v>
      </c>
      <c r="D10" t="s">
        <v>53</v>
      </c>
      <c r="E10" t="s">
        <v>1</v>
      </c>
      <c r="F10" t="s">
        <v>55</v>
      </c>
      <c r="G10" t="s">
        <v>95</v>
      </c>
      <c r="H10" t="s">
        <v>70</v>
      </c>
      <c r="I10" t="s">
        <v>1</v>
      </c>
      <c r="J10" t="s">
        <v>1</v>
      </c>
      <c r="K10" t="s">
        <v>1</v>
      </c>
      <c r="L10" t="s">
        <v>96</v>
      </c>
      <c r="M10" t="s">
        <v>1</v>
      </c>
      <c r="N10" t="s">
        <v>1</v>
      </c>
      <c r="O10" t="s">
        <v>55</v>
      </c>
      <c r="P10" t="s">
        <v>1</v>
      </c>
      <c r="Q10" t="s">
        <v>97</v>
      </c>
      <c r="R10" t="s">
        <v>87</v>
      </c>
      <c r="S10" t="s">
        <v>74</v>
      </c>
      <c r="T10">
        <v>36.9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1</v>
      </c>
      <c r="AE10" t="s">
        <v>1</v>
      </c>
      <c r="AF10" t="s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9.9499999999999993</v>
      </c>
      <c r="AN10">
        <v>0</v>
      </c>
      <c r="AO10">
        <v>0</v>
      </c>
      <c r="AP10" t="s">
        <v>98</v>
      </c>
    </row>
    <row r="11" spans="1:42" x14ac:dyDescent="0.25">
      <c r="A11" t="s">
        <v>92</v>
      </c>
      <c r="B11" t="s">
        <v>99</v>
      </c>
      <c r="C11" t="s">
        <v>94</v>
      </c>
      <c r="D11" t="s">
        <v>53</v>
      </c>
      <c r="E11" t="s">
        <v>1</v>
      </c>
      <c r="F11" t="s">
        <v>55</v>
      </c>
      <c r="G11" t="s">
        <v>95</v>
      </c>
      <c r="H11" t="s">
        <v>70</v>
      </c>
      <c r="I11" t="s">
        <v>1</v>
      </c>
      <c r="J11" t="s">
        <v>1</v>
      </c>
      <c r="K11" t="s">
        <v>1</v>
      </c>
      <c r="L11" t="s">
        <v>100</v>
      </c>
      <c r="M11" t="s">
        <v>1</v>
      </c>
      <c r="N11" t="s">
        <v>1</v>
      </c>
      <c r="O11" t="s">
        <v>55</v>
      </c>
      <c r="P11" t="s">
        <v>1</v>
      </c>
      <c r="Q11" t="s">
        <v>101</v>
      </c>
      <c r="R11" t="s">
        <v>87</v>
      </c>
      <c r="S11" t="s">
        <v>74</v>
      </c>
      <c r="T11">
        <v>36.9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1</v>
      </c>
      <c r="AE11" t="s">
        <v>1</v>
      </c>
      <c r="AF11" t="s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12.7</v>
      </c>
      <c r="AN11">
        <v>0</v>
      </c>
      <c r="AO11">
        <v>0</v>
      </c>
      <c r="AP11" t="s">
        <v>102</v>
      </c>
    </row>
    <row r="12" spans="1:42" x14ac:dyDescent="0.25">
      <c r="A12" t="s">
        <v>92</v>
      </c>
      <c r="B12" t="s">
        <v>103</v>
      </c>
      <c r="C12" t="s">
        <v>94</v>
      </c>
      <c r="D12" t="s">
        <v>53</v>
      </c>
      <c r="E12" t="s">
        <v>1</v>
      </c>
      <c r="F12" t="s">
        <v>55</v>
      </c>
      <c r="G12" t="s">
        <v>95</v>
      </c>
      <c r="H12" t="s">
        <v>70</v>
      </c>
      <c r="I12" t="s">
        <v>1</v>
      </c>
      <c r="J12" t="s">
        <v>1</v>
      </c>
      <c r="K12" t="s">
        <v>1</v>
      </c>
      <c r="L12" t="s">
        <v>100</v>
      </c>
      <c r="M12" t="s">
        <v>1</v>
      </c>
      <c r="N12" t="s">
        <v>1</v>
      </c>
      <c r="O12" t="s">
        <v>55</v>
      </c>
      <c r="P12" t="s">
        <v>1</v>
      </c>
      <c r="Q12" t="s">
        <v>104</v>
      </c>
      <c r="R12" t="s">
        <v>87</v>
      </c>
      <c r="S12" t="s">
        <v>74</v>
      </c>
      <c r="T12">
        <v>54.9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1</v>
      </c>
      <c r="AE12" t="s">
        <v>1</v>
      </c>
      <c r="AF12" t="s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14</v>
      </c>
      <c r="AN12">
        <v>0</v>
      </c>
      <c r="AO12">
        <v>0</v>
      </c>
      <c r="AP12" t="s">
        <v>105</v>
      </c>
    </row>
    <row r="13" spans="1:42" x14ac:dyDescent="0.25">
      <c r="A13" t="s">
        <v>92</v>
      </c>
      <c r="B13" t="s">
        <v>106</v>
      </c>
      <c r="C13" t="s">
        <v>94</v>
      </c>
      <c r="D13" t="s">
        <v>53</v>
      </c>
      <c r="E13" t="s">
        <v>1</v>
      </c>
      <c r="F13" t="s">
        <v>55</v>
      </c>
      <c r="G13" t="s">
        <v>95</v>
      </c>
      <c r="H13" t="s">
        <v>70</v>
      </c>
      <c r="I13" t="s">
        <v>1</v>
      </c>
      <c r="J13" t="s">
        <v>1</v>
      </c>
      <c r="K13" t="s">
        <v>1</v>
      </c>
      <c r="L13" t="s">
        <v>107</v>
      </c>
      <c r="M13" t="s">
        <v>1</v>
      </c>
      <c r="N13" t="s">
        <v>1</v>
      </c>
      <c r="O13" t="s">
        <v>55</v>
      </c>
      <c r="P13" t="s">
        <v>1</v>
      </c>
      <c r="Q13" t="s">
        <v>108</v>
      </c>
      <c r="R13" t="s">
        <v>87</v>
      </c>
      <c r="S13" t="s">
        <v>74</v>
      </c>
      <c r="T13">
        <v>55.8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1</v>
      </c>
      <c r="AE13" t="s">
        <v>1</v>
      </c>
      <c r="AF13" t="s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14</v>
      </c>
      <c r="AN13">
        <v>0</v>
      </c>
      <c r="AO13">
        <v>0</v>
      </c>
      <c r="AP13" t="s">
        <v>109</v>
      </c>
    </row>
    <row r="14" spans="1:42" x14ac:dyDescent="0.25">
      <c r="A14" t="s">
        <v>92</v>
      </c>
      <c r="B14" t="s">
        <v>110</v>
      </c>
      <c r="C14" t="s">
        <v>94</v>
      </c>
      <c r="D14" t="s">
        <v>53</v>
      </c>
      <c r="E14" t="s">
        <v>1</v>
      </c>
      <c r="F14" t="s">
        <v>55</v>
      </c>
      <c r="G14" t="s">
        <v>95</v>
      </c>
      <c r="H14" t="s">
        <v>70</v>
      </c>
      <c r="I14" t="s">
        <v>1</v>
      </c>
      <c r="J14" t="s">
        <v>1</v>
      </c>
      <c r="K14" t="s">
        <v>1</v>
      </c>
      <c r="L14" t="s">
        <v>111</v>
      </c>
      <c r="M14" t="s">
        <v>1</v>
      </c>
      <c r="N14" t="s">
        <v>1</v>
      </c>
      <c r="O14" t="s">
        <v>55</v>
      </c>
      <c r="P14" t="s">
        <v>1</v>
      </c>
      <c r="Q14" t="s">
        <v>112</v>
      </c>
      <c r="R14" t="s">
        <v>87</v>
      </c>
      <c r="S14" t="s">
        <v>74</v>
      </c>
      <c r="T14">
        <v>45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1</v>
      </c>
      <c r="AE14" t="s">
        <v>1</v>
      </c>
      <c r="AF14" t="s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25.2</v>
      </c>
      <c r="AN14">
        <v>0</v>
      </c>
      <c r="AO14">
        <v>0</v>
      </c>
      <c r="AP14" t="s">
        <v>113</v>
      </c>
    </row>
    <row r="15" spans="1:42" x14ac:dyDescent="0.25">
      <c r="A15" t="s">
        <v>92</v>
      </c>
      <c r="B15" t="s">
        <v>114</v>
      </c>
      <c r="C15" t="s">
        <v>94</v>
      </c>
      <c r="D15" t="s">
        <v>53</v>
      </c>
      <c r="E15" t="s">
        <v>1</v>
      </c>
      <c r="F15" t="s">
        <v>55</v>
      </c>
      <c r="G15" t="s">
        <v>95</v>
      </c>
      <c r="H15" t="s">
        <v>70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55</v>
      </c>
      <c r="P15" t="s">
        <v>1</v>
      </c>
      <c r="Q15" t="s">
        <v>115</v>
      </c>
      <c r="R15" t="s">
        <v>87</v>
      </c>
      <c r="S15" t="s">
        <v>74</v>
      </c>
      <c r="T15">
        <v>39.9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1</v>
      </c>
      <c r="AE15" t="s">
        <v>1</v>
      </c>
      <c r="AF15" t="s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10.33</v>
      </c>
      <c r="AN15">
        <v>0</v>
      </c>
      <c r="AO15">
        <v>0</v>
      </c>
      <c r="AP15" t="s">
        <v>116</v>
      </c>
    </row>
    <row r="16" spans="1:42" x14ac:dyDescent="0.25">
      <c r="A16" t="s">
        <v>92</v>
      </c>
      <c r="B16" t="s">
        <v>117</v>
      </c>
      <c r="C16" t="s">
        <v>94</v>
      </c>
      <c r="D16" t="s">
        <v>53</v>
      </c>
      <c r="E16" t="s">
        <v>1</v>
      </c>
      <c r="F16" t="s">
        <v>55</v>
      </c>
      <c r="G16" t="s">
        <v>95</v>
      </c>
      <c r="H16" t="s">
        <v>70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55</v>
      </c>
      <c r="P16" t="s">
        <v>1</v>
      </c>
      <c r="Q16" t="s">
        <v>118</v>
      </c>
      <c r="R16" t="s">
        <v>87</v>
      </c>
      <c r="S16" t="s">
        <v>74</v>
      </c>
      <c r="T16">
        <v>50.9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1</v>
      </c>
      <c r="AE16" t="s">
        <v>1</v>
      </c>
      <c r="AF16" t="s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8.3699999999999992</v>
      </c>
      <c r="AN16">
        <v>0</v>
      </c>
      <c r="AO16">
        <v>0</v>
      </c>
      <c r="AP16" t="s">
        <v>119</v>
      </c>
    </row>
    <row r="17" spans="1:42" s="7" customFormat="1" x14ac:dyDescent="0.25">
      <c r="A17" s="7" t="s">
        <v>120</v>
      </c>
      <c r="B17" s="7" t="s">
        <v>121</v>
      </c>
      <c r="C17" s="7" t="s">
        <v>122</v>
      </c>
      <c r="D17" s="7" t="s">
        <v>53</v>
      </c>
      <c r="E17" s="7" t="s">
        <v>123</v>
      </c>
      <c r="F17" s="7" t="s">
        <v>55</v>
      </c>
      <c r="G17" s="7" t="s">
        <v>124</v>
      </c>
      <c r="H17" s="7" t="s">
        <v>57</v>
      </c>
      <c r="I17" s="7" t="s">
        <v>125</v>
      </c>
      <c r="J17" s="7" t="s">
        <v>126</v>
      </c>
      <c r="K17" s="7" t="s">
        <v>127</v>
      </c>
      <c r="L17" s="7" t="s">
        <v>128</v>
      </c>
      <c r="M17" s="7" t="s">
        <v>129</v>
      </c>
      <c r="N17" s="7" t="s">
        <v>130</v>
      </c>
      <c r="O17" s="7" t="s">
        <v>55</v>
      </c>
      <c r="P17" s="7" t="s">
        <v>1</v>
      </c>
      <c r="Q17" s="7" t="s">
        <v>1</v>
      </c>
      <c r="R17" s="7" t="s">
        <v>1</v>
      </c>
      <c r="S17" s="7" t="s">
        <v>1</v>
      </c>
      <c r="T17" s="7">
        <v>59.9</v>
      </c>
      <c r="U17" s="7">
        <v>0</v>
      </c>
      <c r="V17" s="7">
        <v>0</v>
      </c>
      <c r="W17" s="7">
        <v>0.3</v>
      </c>
      <c r="X17" s="7">
        <v>0</v>
      </c>
      <c r="Y17" s="7">
        <v>26.96</v>
      </c>
      <c r="Z17" s="7">
        <v>0</v>
      </c>
      <c r="AA17" s="7">
        <v>1.65</v>
      </c>
      <c r="AB17" s="7">
        <v>0</v>
      </c>
      <c r="AC17" s="7">
        <v>0</v>
      </c>
      <c r="AD17" s="7" t="s">
        <v>1</v>
      </c>
      <c r="AE17" s="7" t="s">
        <v>1</v>
      </c>
      <c r="AF17" s="7" t="s">
        <v>1</v>
      </c>
      <c r="AG17" s="7">
        <v>30.99</v>
      </c>
      <c r="AH17" s="7">
        <v>0</v>
      </c>
      <c r="AI17" s="7">
        <v>0</v>
      </c>
      <c r="AJ17" s="7">
        <v>30.99</v>
      </c>
      <c r="AK17" s="7">
        <v>0</v>
      </c>
      <c r="AL17" s="7">
        <v>0</v>
      </c>
      <c r="AM17" s="7">
        <v>26.96</v>
      </c>
      <c r="AN17" s="7">
        <v>0</v>
      </c>
      <c r="AO17" s="7">
        <v>0</v>
      </c>
      <c r="AP17" s="7" t="s">
        <v>105</v>
      </c>
    </row>
    <row r="18" spans="1:42" x14ac:dyDescent="0.25">
      <c r="A18" t="s">
        <v>120</v>
      </c>
      <c r="B18" t="s">
        <v>131</v>
      </c>
      <c r="C18" t="s">
        <v>122</v>
      </c>
      <c r="D18" t="s">
        <v>53</v>
      </c>
      <c r="E18" t="s">
        <v>1</v>
      </c>
      <c r="F18" t="s">
        <v>55</v>
      </c>
      <c r="G18" t="s">
        <v>124</v>
      </c>
      <c r="H18" t="s">
        <v>70</v>
      </c>
      <c r="I18" t="s">
        <v>132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55</v>
      </c>
      <c r="P18" t="s">
        <v>1</v>
      </c>
      <c r="Q18" t="s">
        <v>133</v>
      </c>
      <c r="R18" t="s">
        <v>134</v>
      </c>
      <c r="S18" t="s">
        <v>74</v>
      </c>
      <c r="T18">
        <v>105.8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1</v>
      </c>
      <c r="AE18" t="s">
        <v>1</v>
      </c>
      <c r="AF18" t="s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45.82</v>
      </c>
      <c r="AN18">
        <v>0</v>
      </c>
      <c r="AO18">
        <v>0</v>
      </c>
      <c r="AP18" t="s">
        <v>135</v>
      </c>
    </row>
    <row r="19" spans="1:42" s="7" customFormat="1" x14ac:dyDescent="0.25">
      <c r="A19" s="7" t="s">
        <v>120</v>
      </c>
      <c r="B19" s="7" t="s">
        <v>136</v>
      </c>
      <c r="C19" s="7" t="s">
        <v>122</v>
      </c>
      <c r="D19" s="7" t="s">
        <v>53</v>
      </c>
      <c r="E19" s="7" t="s">
        <v>123</v>
      </c>
      <c r="F19" s="7" t="s">
        <v>55</v>
      </c>
      <c r="G19" s="7" t="s">
        <v>124</v>
      </c>
      <c r="H19" s="7" t="s">
        <v>57</v>
      </c>
      <c r="I19" s="7" t="s">
        <v>137</v>
      </c>
      <c r="J19" s="7" t="s">
        <v>137</v>
      </c>
      <c r="K19" s="7" t="s">
        <v>138</v>
      </c>
      <c r="L19" s="7" t="s">
        <v>139</v>
      </c>
      <c r="M19" s="7" t="s">
        <v>138</v>
      </c>
      <c r="N19" s="7" t="s">
        <v>140</v>
      </c>
      <c r="O19" s="7" t="s">
        <v>55</v>
      </c>
      <c r="P19" s="7" t="s">
        <v>1</v>
      </c>
      <c r="Q19" s="7" t="s">
        <v>1</v>
      </c>
      <c r="R19" s="7" t="s">
        <v>1</v>
      </c>
      <c r="S19" s="7" t="s">
        <v>1</v>
      </c>
      <c r="T19" s="7">
        <v>45.9</v>
      </c>
      <c r="U19" s="7">
        <v>0</v>
      </c>
      <c r="V19" s="7">
        <v>0</v>
      </c>
      <c r="W19" s="7">
        <v>1.82</v>
      </c>
      <c r="X19" s="7">
        <v>0</v>
      </c>
      <c r="Y19" s="7">
        <v>14</v>
      </c>
      <c r="Z19" s="7">
        <v>0</v>
      </c>
      <c r="AA19" s="7">
        <v>1.1499999999999999</v>
      </c>
      <c r="AB19" s="7">
        <v>0</v>
      </c>
      <c r="AC19" s="7">
        <v>8.9499999999999993</v>
      </c>
      <c r="AD19" s="7" t="s">
        <v>1</v>
      </c>
      <c r="AE19" s="7" t="s">
        <v>1</v>
      </c>
      <c r="AF19" s="7" t="s">
        <v>1</v>
      </c>
      <c r="AG19" s="7">
        <v>19.98</v>
      </c>
      <c r="AH19" s="7">
        <v>0</v>
      </c>
      <c r="AI19" s="7">
        <v>0</v>
      </c>
      <c r="AJ19" s="7">
        <v>19.98</v>
      </c>
      <c r="AK19" s="7">
        <v>0</v>
      </c>
      <c r="AL19" s="7">
        <v>0</v>
      </c>
      <c r="AM19" s="7">
        <v>14</v>
      </c>
      <c r="AN19" s="7">
        <v>0</v>
      </c>
      <c r="AO19" s="7">
        <v>0</v>
      </c>
      <c r="AP19" s="7" t="s">
        <v>141</v>
      </c>
    </row>
    <row r="20" spans="1:42" s="7" customFormat="1" x14ac:dyDescent="0.25">
      <c r="A20" s="7" t="s">
        <v>120</v>
      </c>
      <c r="B20" s="7" t="s">
        <v>142</v>
      </c>
      <c r="C20" s="7" t="s">
        <v>122</v>
      </c>
      <c r="D20" s="7" t="s">
        <v>53</v>
      </c>
      <c r="E20" s="7" t="s">
        <v>123</v>
      </c>
      <c r="F20" s="7" t="s">
        <v>55</v>
      </c>
      <c r="G20" s="7" t="s">
        <v>124</v>
      </c>
      <c r="H20" s="7" t="s">
        <v>57</v>
      </c>
      <c r="I20" s="7" t="s">
        <v>143</v>
      </c>
      <c r="J20" s="7" t="s">
        <v>143</v>
      </c>
      <c r="K20" s="7" t="s">
        <v>144</v>
      </c>
      <c r="L20" s="7" t="s">
        <v>145</v>
      </c>
      <c r="M20" s="7" t="s">
        <v>146</v>
      </c>
      <c r="N20" s="7" t="s">
        <v>147</v>
      </c>
      <c r="O20" s="7" t="s">
        <v>55</v>
      </c>
      <c r="P20" s="7" t="s">
        <v>1</v>
      </c>
      <c r="Q20" s="7" t="s">
        <v>1</v>
      </c>
      <c r="R20" s="7" t="s">
        <v>1</v>
      </c>
      <c r="S20" s="7" t="s">
        <v>1</v>
      </c>
      <c r="T20" s="7">
        <v>39.9</v>
      </c>
      <c r="U20" s="7">
        <v>0</v>
      </c>
      <c r="V20" s="7">
        <v>0</v>
      </c>
      <c r="W20" s="7">
        <v>0.2</v>
      </c>
      <c r="X20" s="7">
        <v>0</v>
      </c>
      <c r="Y20" s="7">
        <v>17.96</v>
      </c>
      <c r="Z20" s="7">
        <v>0</v>
      </c>
      <c r="AA20" s="7">
        <v>1.1000000000000001</v>
      </c>
      <c r="AB20" s="7">
        <v>0</v>
      </c>
      <c r="AC20" s="7">
        <v>0</v>
      </c>
      <c r="AD20" s="7" t="s">
        <v>1</v>
      </c>
      <c r="AE20" s="7" t="s">
        <v>1</v>
      </c>
      <c r="AF20" s="7" t="s">
        <v>1</v>
      </c>
      <c r="AG20" s="7">
        <v>20.64</v>
      </c>
      <c r="AH20" s="7">
        <v>0</v>
      </c>
      <c r="AI20" s="7">
        <v>0</v>
      </c>
      <c r="AJ20" s="7">
        <v>20.64</v>
      </c>
      <c r="AK20" s="7">
        <v>7.4</v>
      </c>
      <c r="AL20" s="7">
        <v>0</v>
      </c>
      <c r="AM20" s="7">
        <v>25.36</v>
      </c>
      <c r="AN20" s="7">
        <v>0</v>
      </c>
      <c r="AO20" s="7">
        <v>0</v>
      </c>
      <c r="AP20" s="7" t="s">
        <v>148</v>
      </c>
    </row>
    <row r="21" spans="1:42" s="7" customFormat="1" x14ac:dyDescent="0.25">
      <c r="A21" s="7" t="s">
        <v>120</v>
      </c>
      <c r="B21" s="7" t="s">
        <v>149</v>
      </c>
      <c r="C21" s="7" t="s">
        <v>122</v>
      </c>
      <c r="D21" s="7" t="s">
        <v>53</v>
      </c>
      <c r="E21" s="7" t="s">
        <v>123</v>
      </c>
      <c r="F21" s="7" t="s">
        <v>55</v>
      </c>
      <c r="G21" s="7" t="s">
        <v>124</v>
      </c>
      <c r="H21" s="7" t="s">
        <v>57</v>
      </c>
      <c r="I21" s="7" t="s">
        <v>150</v>
      </c>
      <c r="J21" s="7" t="s">
        <v>150</v>
      </c>
      <c r="K21" s="7" t="s">
        <v>1</v>
      </c>
      <c r="L21" s="7" t="s">
        <v>151</v>
      </c>
      <c r="M21" s="7" t="s">
        <v>152</v>
      </c>
      <c r="N21" s="7" t="s">
        <v>153</v>
      </c>
      <c r="O21" s="7" t="s">
        <v>55</v>
      </c>
      <c r="P21" s="7" t="s">
        <v>1</v>
      </c>
      <c r="Q21" s="7" t="s">
        <v>1</v>
      </c>
      <c r="R21" s="7" t="s">
        <v>1</v>
      </c>
      <c r="S21" s="7" t="s">
        <v>1</v>
      </c>
      <c r="T21" s="7">
        <v>32.9</v>
      </c>
      <c r="U21" s="7">
        <v>0</v>
      </c>
      <c r="V21" s="7">
        <v>0</v>
      </c>
      <c r="W21" s="7">
        <v>1.49</v>
      </c>
      <c r="X21" s="7">
        <v>0</v>
      </c>
      <c r="Y21" s="7">
        <v>9</v>
      </c>
      <c r="Z21" s="7">
        <v>0</v>
      </c>
      <c r="AA21" s="7">
        <v>0.82</v>
      </c>
      <c r="AB21" s="7">
        <v>0</v>
      </c>
      <c r="AC21" s="7">
        <v>7.45</v>
      </c>
      <c r="AD21" s="7" t="s">
        <v>1</v>
      </c>
      <c r="AE21" s="7" t="s">
        <v>1</v>
      </c>
      <c r="AF21" s="7" t="s">
        <v>1</v>
      </c>
      <c r="AG21" s="7">
        <v>14.14</v>
      </c>
      <c r="AH21" s="7">
        <v>0</v>
      </c>
      <c r="AI21" s="7">
        <v>0</v>
      </c>
      <c r="AJ21" s="7">
        <v>14.14</v>
      </c>
      <c r="AK21" s="7">
        <v>8.4</v>
      </c>
      <c r="AL21" s="7">
        <v>0</v>
      </c>
      <c r="AM21" s="7">
        <v>17.399999999999999</v>
      </c>
      <c r="AN21" s="7">
        <v>0</v>
      </c>
      <c r="AO21" s="7">
        <v>0</v>
      </c>
      <c r="AP21" s="7" t="s">
        <v>154</v>
      </c>
    </row>
    <row r="22" spans="1:42" s="7" customFormat="1" x14ac:dyDescent="0.25">
      <c r="A22" s="7" t="s">
        <v>120</v>
      </c>
      <c r="B22" s="7" t="s">
        <v>155</v>
      </c>
      <c r="C22" s="7" t="s">
        <v>122</v>
      </c>
      <c r="D22" s="7" t="s">
        <v>53</v>
      </c>
      <c r="E22" s="7" t="s">
        <v>123</v>
      </c>
      <c r="F22" s="7" t="s">
        <v>55</v>
      </c>
      <c r="G22" s="7" t="s">
        <v>124</v>
      </c>
      <c r="H22" s="7" t="s">
        <v>57</v>
      </c>
      <c r="I22" s="7" t="s">
        <v>156</v>
      </c>
      <c r="J22" s="7" t="s">
        <v>156</v>
      </c>
      <c r="K22" s="7" t="s">
        <v>157</v>
      </c>
      <c r="L22" s="7" t="s">
        <v>158</v>
      </c>
      <c r="M22" s="7" t="s">
        <v>159</v>
      </c>
      <c r="N22" s="7" t="s">
        <v>160</v>
      </c>
      <c r="O22" s="7" t="s">
        <v>55</v>
      </c>
      <c r="P22" s="7" t="s">
        <v>1</v>
      </c>
      <c r="Q22" s="7" t="s">
        <v>1</v>
      </c>
      <c r="R22" s="7" t="s">
        <v>1</v>
      </c>
      <c r="S22" s="7" t="s">
        <v>1</v>
      </c>
      <c r="T22" s="7">
        <v>29.9</v>
      </c>
      <c r="U22" s="7">
        <v>0</v>
      </c>
      <c r="V22" s="7">
        <v>0</v>
      </c>
      <c r="W22" s="7">
        <v>0.15</v>
      </c>
      <c r="X22" s="7">
        <v>0</v>
      </c>
      <c r="Y22" s="7">
        <v>13.46</v>
      </c>
      <c r="Z22" s="7">
        <v>0</v>
      </c>
      <c r="AA22" s="7">
        <v>0.82</v>
      </c>
      <c r="AB22" s="7">
        <v>0</v>
      </c>
      <c r="AC22" s="7">
        <v>0</v>
      </c>
      <c r="AD22" s="7" t="s">
        <v>1</v>
      </c>
      <c r="AE22" s="7" t="s">
        <v>1</v>
      </c>
      <c r="AF22" s="7" t="s">
        <v>1</v>
      </c>
      <c r="AG22" s="7">
        <v>15.47</v>
      </c>
      <c r="AH22" s="7">
        <v>0</v>
      </c>
      <c r="AI22" s="7">
        <v>0</v>
      </c>
      <c r="AJ22" s="7">
        <v>15.47</v>
      </c>
      <c r="AK22" s="7">
        <v>0</v>
      </c>
      <c r="AL22" s="7">
        <v>0</v>
      </c>
      <c r="AM22" s="7">
        <v>13.46</v>
      </c>
      <c r="AN22" s="7">
        <v>0</v>
      </c>
      <c r="AO22" s="7">
        <v>0</v>
      </c>
      <c r="AP22" s="7" t="s">
        <v>161</v>
      </c>
    </row>
    <row r="23" spans="1:42" x14ac:dyDescent="0.25">
      <c r="A23" t="s">
        <v>120</v>
      </c>
      <c r="B23" t="s">
        <v>162</v>
      </c>
      <c r="C23" t="s">
        <v>122</v>
      </c>
      <c r="D23" t="s">
        <v>53</v>
      </c>
      <c r="E23" t="s">
        <v>1</v>
      </c>
      <c r="F23" t="s">
        <v>55</v>
      </c>
      <c r="G23" t="s">
        <v>124</v>
      </c>
      <c r="H23" t="s">
        <v>70</v>
      </c>
      <c r="I23" t="s">
        <v>163</v>
      </c>
      <c r="J23" t="s">
        <v>163</v>
      </c>
      <c r="K23" t="s">
        <v>164</v>
      </c>
      <c r="L23" t="s">
        <v>1</v>
      </c>
      <c r="M23" t="s">
        <v>1</v>
      </c>
      <c r="N23" t="s">
        <v>1</v>
      </c>
      <c r="O23" t="s">
        <v>55</v>
      </c>
      <c r="P23" t="s">
        <v>1</v>
      </c>
      <c r="Q23" t="s">
        <v>165</v>
      </c>
      <c r="R23" t="s">
        <v>166</v>
      </c>
      <c r="S23" t="s">
        <v>167</v>
      </c>
      <c r="T23">
        <v>41.9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1</v>
      </c>
      <c r="AE23" t="s">
        <v>1</v>
      </c>
      <c r="AF23" t="s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168</v>
      </c>
    </row>
    <row r="24" spans="1:42" x14ac:dyDescent="0.25">
      <c r="A24" t="s">
        <v>120</v>
      </c>
      <c r="B24" t="s">
        <v>169</v>
      </c>
      <c r="C24" t="s">
        <v>122</v>
      </c>
      <c r="D24" t="s">
        <v>53</v>
      </c>
      <c r="E24" t="s">
        <v>1</v>
      </c>
      <c r="F24" t="s">
        <v>55</v>
      </c>
      <c r="G24" t="s">
        <v>124</v>
      </c>
      <c r="H24" t="s">
        <v>70</v>
      </c>
      <c r="I24" t="s">
        <v>170</v>
      </c>
      <c r="J24" t="s">
        <v>170</v>
      </c>
      <c r="K24" t="s">
        <v>171</v>
      </c>
      <c r="L24" t="s">
        <v>1</v>
      </c>
      <c r="M24" t="s">
        <v>1</v>
      </c>
      <c r="N24" t="s">
        <v>1</v>
      </c>
      <c r="O24" t="s">
        <v>55</v>
      </c>
      <c r="P24" t="s">
        <v>1</v>
      </c>
      <c r="Q24" t="s">
        <v>172</v>
      </c>
      <c r="R24" t="s">
        <v>173</v>
      </c>
      <c r="S24" t="s">
        <v>167</v>
      </c>
      <c r="T24">
        <v>41.9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1</v>
      </c>
      <c r="AE24" t="s">
        <v>1</v>
      </c>
      <c r="AF24" t="s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t="s">
        <v>174</v>
      </c>
    </row>
    <row r="25" spans="1:42" s="7" customFormat="1" x14ac:dyDescent="0.25">
      <c r="A25" s="7" t="s">
        <v>120</v>
      </c>
      <c r="B25" s="7" t="s">
        <v>175</v>
      </c>
      <c r="C25" s="7" t="s">
        <v>122</v>
      </c>
      <c r="D25" s="7" t="s">
        <v>53</v>
      </c>
      <c r="E25" s="7" t="s">
        <v>123</v>
      </c>
      <c r="F25" s="7" t="s">
        <v>55</v>
      </c>
      <c r="G25" s="7" t="s">
        <v>124</v>
      </c>
      <c r="H25" s="7" t="s">
        <v>57</v>
      </c>
      <c r="I25" s="7" t="s">
        <v>176</v>
      </c>
      <c r="J25" s="7" t="s">
        <v>177</v>
      </c>
      <c r="K25" s="7" t="s">
        <v>178</v>
      </c>
      <c r="L25" s="7" t="s">
        <v>179</v>
      </c>
      <c r="M25" s="7" t="s">
        <v>180</v>
      </c>
      <c r="N25" s="7" t="s">
        <v>181</v>
      </c>
      <c r="O25" s="7" t="s">
        <v>55</v>
      </c>
      <c r="P25" s="7" t="s">
        <v>1</v>
      </c>
      <c r="Q25" s="7" t="s">
        <v>1</v>
      </c>
      <c r="R25" s="7" t="s">
        <v>1</v>
      </c>
      <c r="S25" s="7" t="s">
        <v>1</v>
      </c>
      <c r="T25" s="7">
        <v>59.9</v>
      </c>
      <c r="U25" s="7">
        <v>0</v>
      </c>
      <c r="V25" s="7">
        <v>0</v>
      </c>
      <c r="W25" s="7">
        <v>0.3</v>
      </c>
      <c r="X25" s="7">
        <v>0</v>
      </c>
      <c r="Y25" s="7">
        <v>26.96</v>
      </c>
      <c r="Z25" s="7">
        <v>0</v>
      </c>
      <c r="AA25" s="7">
        <v>1.65</v>
      </c>
      <c r="AB25" s="7">
        <v>0</v>
      </c>
      <c r="AC25" s="7">
        <v>0</v>
      </c>
      <c r="AD25" s="7" t="s">
        <v>1</v>
      </c>
      <c r="AE25" s="7" t="s">
        <v>1</v>
      </c>
      <c r="AF25" s="7" t="s">
        <v>1</v>
      </c>
      <c r="AG25" s="7">
        <v>30.99</v>
      </c>
      <c r="AH25" s="7">
        <v>0</v>
      </c>
      <c r="AI25" s="7">
        <v>0</v>
      </c>
      <c r="AJ25" s="7">
        <v>30.99</v>
      </c>
      <c r="AK25" s="7">
        <v>0</v>
      </c>
      <c r="AL25" s="7">
        <v>0</v>
      </c>
      <c r="AM25" s="7">
        <v>26.96</v>
      </c>
      <c r="AN25" s="7">
        <v>0</v>
      </c>
      <c r="AO25" s="7">
        <v>0</v>
      </c>
      <c r="AP25" s="7" t="s">
        <v>105</v>
      </c>
    </row>
    <row r="26" spans="1:42" s="7" customFormat="1" x14ac:dyDescent="0.25">
      <c r="A26" s="7" t="s">
        <v>120</v>
      </c>
      <c r="B26" s="7" t="s">
        <v>182</v>
      </c>
      <c r="C26" s="7" t="s">
        <v>122</v>
      </c>
      <c r="D26" s="7" t="s">
        <v>53</v>
      </c>
      <c r="E26" s="7" t="s">
        <v>123</v>
      </c>
      <c r="F26" s="7" t="s">
        <v>55</v>
      </c>
      <c r="G26" s="7" t="s">
        <v>124</v>
      </c>
      <c r="H26" s="7" t="s">
        <v>57</v>
      </c>
      <c r="I26" s="7" t="s">
        <v>183</v>
      </c>
      <c r="J26" s="7" t="s">
        <v>184</v>
      </c>
      <c r="K26" s="7" t="s">
        <v>185</v>
      </c>
      <c r="L26" s="7" t="s">
        <v>185</v>
      </c>
      <c r="M26" s="7" t="s">
        <v>186</v>
      </c>
      <c r="N26" s="7" t="s">
        <v>187</v>
      </c>
      <c r="O26" s="7" t="s">
        <v>55</v>
      </c>
      <c r="P26" s="7" t="s">
        <v>1</v>
      </c>
      <c r="Q26" s="7" t="s">
        <v>1</v>
      </c>
      <c r="R26" s="7" t="s">
        <v>1</v>
      </c>
      <c r="S26" s="7" t="s">
        <v>1</v>
      </c>
      <c r="T26" s="7">
        <v>50.9</v>
      </c>
      <c r="U26" s="7">
        <v>0</v>
      </c>
      <c r="V26" s="7">
        <v>0</v>
      </c>
      <c r="W26" s="7">
        <v>2.29</v>
      </c>
      <c r="X26" s="7">
        <v>0</v>
      </c>
      <c r="Y26" s="7">
        <v>14</v>
      </c>
      <c r="Z26" s="7">
        <v>0</v>
      </c>
      <c r="AA26" s="7">
        <v>1.27</v>
      </c>
      <c r="AB26" s="7">
        <v>0</v>
      </c>
      <c r="AC26" s="7">
        <v>11.45</v>
      </c>
      <c r="AD26" s="7" t="s">
        <v>1</v>
      </c>
      <c r="AE26" s="7" t="s">
        <v>1</v>
      </c>
      <c r="AF26" s="7" t="s">
        <v>1</v>
      </c>
      <c r="AG26" s="7">
        <v>21.89</v>
      </c>
      <c r="AH26" s="7">
        <v>0</v>
      </c>
      <c r="AI26" s="7">
        <v>0</v>
      </c>
      <c r="AJ26" s="7">
        <v>21.89</v>
      </c>
      <c r="AK26" s="7">
        <v>0</v>
      </c>
      <c r="AL26" s="7">
        <v>0</v>
      </c>
      <c r="AM26" s="7">
        <v>14</v>
      </c>
      <c r="AN26" s="7">
        <v>0</v>
      </c>
      <c r="AO26" s="7">
        <v>0</v>
      </c>
      <c r="AP26" s="7" t="s">
        <v>188</v>
      </c>
    </row>
    <row r="27" spans="1:42" s="7" customFormat="1" x14ac:dyDescent="0.25">
      <c r="A27" s="7" t="s">
        <v>120</v>
      </c>
      <c r="B27" s="7" t="s">
        <v>189</v>
      </c>
      <c r="C27" s="7" t="s">
        <v>122</v>
      </c>
      <c r="D27" s="7" t="s">
        <v>53</v>
      </c>
      <c r="E27" s="7" t="s">
        <v>123</v>
      </c>
      <c r="F27" s="7" t="s">
        <v>55</v>
      </c>
      <c r="G27" s="7" t="s">
        <v>124</v>
      </c>
      <c r="H27" s="7" t="s">
        <v>57</v>
      </c>
      <c r="I27" s="7" t="s">
        <v>190</v>
      </c>
      <c r="J27" s="7" t="s">
        <v>191</v>
      </c>
      <c r="K27" s="7" t="s">
        <v>192</v>
      </c>
      <c r="L27" s="7" t="s">
        <v>193</v>
      </c>
      <c r="M27" s="7" t="s">
        <v>194</v>
      </c>
      <c r="N27" s="7" t="s">
        <v>195</v>
      </c>
      <c r="O27" s="7" t="s">
        <v>55</v>
      </c>
      <c r="P27" s="7" t="s">
        <v>1</v>
      </c>
      <c r="Q27" s="7" t="s">
        <v>1</v>
      </c>
      <c r="R27" s="7" t="s">
        <v>1</v>
      </c>
      <c r="S27" s="7" t="s">
        <v>1</v>
      </c>
      <c r="T27" s="7">
        <v>59.9</v>
      </c>
      <c r="U27" s="7">
        <v>0</v>
      </c>
      <c r="V27" s="7">
        <v>0</v>
      </c>
      <c r="W27" s="7">
        <v>0.3</v>
      </c>
      <c r="X27" s="7">
        <v>0</v>
      </c>
      <c r="Y27" s="7">
        <v>26.96</v>
      </c>
      <c r="Z27" s="7">
        <v>0</v>
      </c>
      <c r="AA27" s="7">
        <v>1.65</v>
      </c>
      <c r="AB27" s="7">
        <v>0</v>
      </c>
      <c r="AC27" s="7">
        <v>0</v>
      </c>
      <c r="AD27" s="7" t="s">
        <v>1</v>
      </c>
      <c r="AE27" s="7" t="s">
        <v>1</v>
      </c>
      <c r="AF27" s="7" t="s">
        <v>1</v>
      </c>
      <c r="AG27" s="7">
        <v>30.99</v>
      </c>
      <c r="AH27" s="7">
        <v>0</v>
      </c>
      <c r="AI27" s="7">
        <v>0</v>
      </c>
      <c r="AJ27" s="7">
        <v>30.99</v>
      </c>
      <c r="AK27" s="7">
        <v>8.4</v>
      </c>
      <c r="AL27" s="7">
        <v>0</v>
      </c>
      <c r="AM27" s="7">
        <v>35.36</v>
      </c>
      <c r="AN27" s="7">
        <v>0</v>
      </c>
      <c r="AO27" s="7">
        <v>0</v>
      </c>
      <c r="AP27" s="7" t="s">
        <v>105</v>
      </c>
    </row>
    <row r="28" spans="1:42" s="7" customFormat="1" x14ac:dyDescent="0.25">
      <c r="A28" s="7" t="s">
        <v>120</v>
      </c>
      <c r="B28" s="7" t="s">
        <v>196</v>
      </c>
      <c r="C28" s="7" t="s">
        <v>122</v>
      </c>
      <c r="D28" s="7" t="s">
        <v>53</v>
      </c>
      <c r="E28" s="7" t="s">
        <v>123</v>
      </c>
      <c r="F28" s="7" t="s">
        <v>55</v>
      </c>
      <c r="G28" s="7" t="s">
        <v>124</v>
      </c>
      <c r="H28" s="7" t="s">
        <v>57</v>
      </c>
      <c r="I28" s="7" t="s">
        <v>197</v>
      </c>
      <c r="J28" s="7" t="s">
        <v>197</v>
      </c>
      <c r="K28" s="7" t="s">
        <v>198</v>
      </c>
      <c r="L28" s="7" t="s">
        <v>193</v>
      </c>
      <c r="M28" s="7" t="s">
        <v>194</v>
      </c>
      <c r="N28" s="7" t="s">
        <v>199</v>
      </c>
      <c r="O28" s="7" t="s">
        <v>55</v>
      </c>
      <c r="P28" s="7" t="s">
        <v>1</v>
      </c>
      <c r="Q28" s="7" t="s">
        <v>1</v>
      </c>
      <c r="R28" s="7" t="s">
        <v>1</v>
      </c>
      <c r="S28" s="7" t="s">
        <v>1</v>
      </c>
      <c r="T28" s="7">
        <v>39.9</v>
      </c>
      <c r="U28" s="7">
        <v>0</v>
      </c>
      <c r="V28" s="7">
        <v>0</v>
      </c>
      <c r="W28" s="7">
        <v>0.2</v>
      </c>
      <c r="X28" s="7">
        <v>0</v>
      </c>
      <c r="Y28" s="7">
        <v>17.96</v>
      </c>
      <c r="Z28" s="7">
        <v>0</v>
      </c>
      <c r="AA28" s="7">
        <v>1.1000000000000001</v>
      </c>
      <c r="AB28" s="7">
        <v>0</v>
      </c>
      <c r="AC28" s="7">
        <v>0</v>
      </c>
      <c r="AD28" s="7" t="s">
        <v>1</v>
      </c>
      <c r="AE28" s="7" t="s">
        <v>1</v>
      </c>
      <c r="AF28" s="7" t="s">
        <v>1</v>
      </c>
      <c r="AG28" s="7">
        <v>20.64</v>
      </c>
      <c r="AH28" s="7">
        <v>0</v>
      </c>
      <c r="AI28" s="7">
        <v>0</v>
      </c>
      <c r="AJ28" s="7">
        <v>20.64</v>
      </c>
      <c r="AK28" s="7">
        <v>12.4</v>
      </c>
      <c r="AL28" s="7">
        <v>0</v>
      </c>
      <c r="AM28" s="7">
        <v>30.36</v>
      </c>
      <c r="AN28" s="7">
        <v>0</v>
      </c>
      <c r="AO28" s="7">
        <v>0</v>
      </c>
      <c r="AP28" s="7" t="s">
        <v>200</v>
      </c>
    </row>
    <row r="29" spans="1:42" x14ac:dyDescent="0.25">
      <c r="A29" t="s">
        <v>120</v>
      </c>
      <c r="B29" t="s">
        <v>201</v>
      </c>
      <c r="C29" t="s">
        <v>122</v>
      </c>
      <c r="D29" t="s">
        <v>53</v>
      </c>
      <c r="E29" t="s">
        <v>1</v>
      </c>
      <c r="F29" t="s">
        <v>55</v>
      </c>
      <c r="G29" t="s">
        <v>124</v>
      </c>
      <c r="H29" t="s">
        <v>70</v>
      </c>
      <c r="I29" t="s">
        <v>202</v>
      </c>
      <c r="J29" t="s">
        <v>202</v>
      </c>
      <c r="K29" t="s">
        <v>203</v>
      </c>
      <c r="L29" t="s">
        <v>204</v>
      </c>
      <c r="M29" t="s">
        <v>205</v>
      </c>
      <c r="N29" t="s">
        <v>1</v>
      </c>
      <c r="O29" t="s">
        <v>55</v>
      </c>
      <c r="P29" t="s">
        <v>1</v>
      </c>
      <c r="Q29" t="s">
        <v>206</v>
      </c>
      <c r="R29" t="s">
        <v>207</v>
      </c>
      <c r="S29" t="s">
        <v>208</v>
      </c>
      <c r="T29">
        <v>41.9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1</v>
      </c>
      <c r="AE29" t="s">
        <v>1</v>
      </c>
      <c r="AF29" t="s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t="s">
        <v>209</v>
      </c>
    </row>
    <row r="30" spans="1:42" s="7" customFormat="1" x14ac:dyDescent="0.25">
      <c r="A30" s="7" t="s">
        <v>120</v>
      </c>
      <c r="B30" s="7" t="s">
        <v>210</v>
      </c>
      <c r="C30" s="7" t="s">
        <v>122</v>
      </c>
      <c r="D30" s="7" t="s">
        <v>53</v>
      </c>
      <c r="E30" s="7" t="s">
        <v>123</v>
      </c>
      <c r="F30" s="7" t="s">
        <v>55</v>
      </c>
      <c r="G30" s="7" t="s">
        <v>124</v>
      </c>
      <c r="H30" s="7" t="s">
        <v>57</v>
      </c>
      <c r="I30" s="7" t="s">
        <v>211</v>
      </c>
      <c r="J30" s="7" t="s">
        <v>211</v>
      </c>
      <c r="K30" s="7" t="s">
        <v>212</v>
      </c>
      <c r="L30" s="7" t="s">
        <v>213</v>
      </c>
      <c r="M30" s="7" t="s">
        <v>214</v>
      </c>
      <c r="N30" s="7" t="s">
        <v>215</v>
      </c>
      <c r="O30" s="7" t="s">
        <v>55</v>
      </c>
      <c r="P30" s="7" t="s">
        <v>1</v>
      </c>
      <c r="Q30" s="7" t="s">
        <v>1</v>
      </c>
      <c r="R30" s="7" t="s">
        <v>1</v>
      </c>
      <c r="S30" s="7" t="s">
        <v>1</v>
      </c>
      <c r="T30" s="7">
        <v>59.9</v>
      </c>
      <c r="U30" s="7">
        <v>0</v>
      </c>
      <c r="V30" s="7">
        <v>0</v>
      </c>
      <c r="W30" s="7">
        <v>0.3</v>
      </c>
      <c r="X30" s="7">
        <v>0</v>
      </c>
      <c r="Y30" s="7">
        <v>26.96</v>
      </c>
      <c r="Z30" s="7">
        <v>0</v>
      </c>
      <c r="AA30" s="7">
        <v>1.65</v>
      </c>
      <c r="AB30" s="7">
        <v>0</v>
      </c>
      <c r="AC30" s="7">
        <v>0</v>
      </c>
      <c r="AD30" s="7" t="s">
        <v>1</v>
      </c>
      <c r="AE30" s="7" t="s">
        <v>1</v>
      </c>
      <c r="AF30" s="7" t="s">
        <v>1</v>
      </c>
      <c r="AG30" s="7">
        <v>30.99</v>
      </c>
      <c r="AH30" s="7">
        <v>0</v>
      </c>
      <c r="AI30" s="7">
        <v>0</v>
      </c>
      <c r="AJ30" s="7">
        <v>30.99</v>
      </c>
      <c r="AK30" s="7">
        <v>8.4</v>
      </c>
      <c r="AL30" s="7">
        <v>0</v>
      </c>
      <c r="AM30" s="7">
        <v>35.36</v>
      </c>
      <c r="AN30" s="7">
        <v>0</v>
      </c>
      <c r="AO30" s="7">
        <v>0</v>
      </c>
      <c r="AP30" s="7" t="s">
        <v>105</v>
      </c>
    </row>
    <row r="31" spans="1:42" s="7" customFormat="1" x14ac:dyDescent="0.25">
      <c r="A31" s="7" t="s">
        <v>120</v>
      </c>
      <c r="B31" s="7" t="s">
        <v>216</v>
      </c>
      <c r="C31" s="7" t="s">
        <v>122</v>
      </c>
      <c r="D31" s="7" t="s">
        <v>53</v>
      </c>
      <c r="E31" s="7" t="s">
        <v>123</v>
      </c>
      <c r="F31" s="7" t="s">
        <v>55</v>
      </c>
      <c r="G31" s="7" t="s">
        <v>124</v>
      </c>
      <c r="H31" s="7" t="s">
        <v>57</v>
      </c>
      <c r="I31" s="7" t="s">
        <v>217</v>
      </c>
      <c r="J31" s="7" t="s">
        <v>217</v>
      </c>
      <c r="K31" s="7" t="s">
        <v>218</v>
      </c>
      <c r="L31" s="7" t="s">
        <v>219</v>
      </c>
      <c r="M31" s="7" t="s">
        <v>220</v>
      </c>
      <c r="N31" s="7" t="s">
        <v>221</v>
      </c>
      <c r="O31" s="7" t="s">
        <v>55</v>
      </c>
      <c r="P31" s="7" t="s">
        <v>1</v>
      </c>
      <c r="Q31" s="7" t="s">
        <v>1</v>
      </c>
      <c r="R31" s="7" t="s">
        <v>1</v>
      </c>
      <c r="S31" s="7" t="s">
        <v>1</v>
      </c>
      <c r="T31" s="7">
        <v>38.9</v>
      </c>
      <c r="U31" s="7">
        <v>0</v>
      </c>
      <c r="V31" s="7">
        <v>0</v>
      </c>
      <c r="W31" s="7">
        <v>0.23</v>
      </c>
      <c r="X31" s="7">
        <v>0</v>
      </c>
      <c r="Y31" s="7">
        <v>13.46</v>
      </c>
      <c r="Z31" s="7">
        <v>0</v>
      </c>
      <c r="AA31" s="7">
        <v>1.27</v>
      </c>
      <c r="AB31" s="7">
        <v>0</v>
      </c>
      <c r="AC31" s="7">
        <v>0</v>
      </c>
      <c r="AD31" s="7" t="s">
        <v>1</v>
      </c>
      <c r="AE31" s="7" t="s">
        <v>1</v>
      </c>
      <c r="AF31" s="7" t="s">
        <v>1</v>
      </c>
      <c r="AG31" s="7">
        <v>23.94</v>
      </c>
      <c r="AH31" s="7">
        <v>0</v>
      </c>
      <c r="AI31" s="7">
        <v>0</v>
      </c>
      <c r="AJ31" s="7">
        <v>23.94</v>
      </c>
      <c r="AK31" s="7">
        <v>0</v>
      </c>
      <c r="AL31" s="7">
        <v>0</v>
      </c>
      <c r="AM31" s="7">
        <v>13.46</v>
      </c>
      <c r="AN31" s="7">
        <v>0</v>
      </c>
      <c r="AO31" s="7">
        <v>0</v>
      </c>
      <c r="AP31" s="7" t="s">
        <v>222</v>
      </c>
    </row>
    <row r="32" spans="1:42" s="7" customFormat="1" x14ac:dyDescent="0.25">
      <c r="A32" s="7" t="s">
        <v>120</v>
      </c>
      <c r="B32" s="7" t="s">
        <v>223</v>
      </c>
      <c r="C32" s="7" t="s">
        <v>122</v>
      </c>
      <c r="D32" s="7" t="s">
        <v>53</v>
      </c>
      <c r="E32" s="7" t="s">
        <v>123</v>
      </c>
      <c r="F32" s="7" t="s">
        <v>55</v>
      </c>
      <c r="G32" s="7" t="s">
        <v>124</v>
      </c>
      <c r="H32" s="7" t="s">
        <v>57</v>
      </c>
      <c r="I32" s="7" t="s">
        <v>224</v>
      </c>
      <c r="J32" s="7" t="s">
        <v>224</v>
      </c>
      <c r="K32" s="7" t="s">
        <v>225</v>
      </c>
      <c r="L32" s="7" t="s">
        <v>226</v>
      </c>
      <c r="M32" s="7" t="s">
        <v>227</v>
      </c>
      <c r="N32" s="7" t="s">
        <v>228</v>
      </c>
      <c r="O32" s="7" t="s">
        <v>55</v>
      </c>
      <c r="P32" s="7" t="s">
        <v>1</v>
      </c>
      <c r="Q32" s="7" t="s">
        <v>1</v>
      </c>
      <c r="R32" s="7" t="s">
        <v>1</v>
      </c>
      <c r="S32" s="7" t="s">
        <v>1</v>
      </c>
      <c r="T32" s="7">
        <v>45.9</v>
      </c>
      <c r="U32" s="7">
        <v>0</v>
      </c>
      <c r="V32" s="7">
        <v>0</v>
      </c>
      <c r="W32" s="7">
        <v>1.82</v>
      </c>
      <c r="X32" s="7">
        <v>0</v>
      </c>
      <c r="Y32" s="7">
        <v>14</v>
      </c>
      <c r="Z32" s="7">
        <v>0</v>
      </c>
      <c r="AA32" s="7">
        <v>1.1499999999999999</v>
      </c>
      <c r="AB32" s="7">
        <v>0</v>
      </c>
      <c r="AC32" s="7">
        <v>8.9499999999999993</v>
      </c>
      <c r="AD32" s="7" t="s">
        <v>1</v>
      </c>
      <c r="AE32" s="7" t="s">
        <v>1</v>
      </c>
      <c r="AF32" s="7" t="s">
        <v>1</v>
      </c>
      <c r="AG32" s="7">
        <v>19.98</v>
      </c>
      <c r="AH32" s="7">
        <v>0</v>
      </c>
      <c r="AI32" s="7">
        <v>0</v>
      </c>
      <c r="AJ32" s="7">
        <v>19.98</v>
      </c>
      <c r="AK32" s="7">
        <v>7.4</v>
      </c>
      <c r="AL32" s="7">
        <v>0</v>
      </c>
      <c r="AM32" s="7">
        <v>21.4</v>
      </c>
      <c r="AN32" s="7">
        <v>0</v>
      </c>
      <c r="AO32" s="7">
        <v>0</v>
      </c>
      <c r="AP32" s="7" t="s">
        <v>229</v>
      </c>
    </row>
    <row r="33" spans="1:42" s="7" customFormat="1" x14ac:dyDescent="0.25">
      <c r="A33" s="7" t="s">
        <v>120</v>
      </c>
      <c r="B33" s="7" t="s">
        <v>230</v>
      </c>
      <c r="C33" s="7" t="s">
        <v>122</v>
      </c>
      <c r="D33" s="7" t="s">
        <v>53</v>
      </c>
      <c r="E33" s="7" t="s">
        <v>123</v>
      </c>
      <c r="F33" s="7" t="s">
        <v>55</v>
      </c>
      <c r="G33" s="7" t="s">
        <v>124</v>
      </c>
      <c r="H33" s="7" t="s">
        <v>57</v>
      </c>
      <c r="I33" s="7" t="s">
        <v>231</v>
      </c>
      <c r="J33" s="7" t="s">
        <v>231</v>
      </c>
      <c r="K33" s="7" t="s">
        <v>1</v>
      </c>
      <c r="L33" s="7" t="s">
        <v>232</v>
      </c>
      <c r="M33" s="7" t="s">
        <v>233</v>
      </c>
      <c r="N33" s="7" t="s">
        <v>234</v>
      </c>
      <c r="O33" s="7" t="s">
        <v>55</v>
      </c>
      <c r="P33" s="7" t="s">
        <v>1</v>
      </c>
      <c r="Q33" s="7" t="s">
        <v>1</v>
      </c>
      <c r="R33" s="7" t="s">
        <v>1</v>
      </c>
      <c r="S33" s="7" t="s">
        <v>1</v>
      </c>
      <c r="T33" s="7">
        <v>52.9</v>
      </c>
      <c r="U33" s="7">
        <v>0</v>
      </c>
      <c r="V33" s="7">
        <v>0</v>
      </c>
      <c r="W33" s="7">
        <v>2.48</v>
      </c>
      <c r="X33" s="7">
        <v>0</v>
      </c>
      <c r="Y33" s="7">
        <v>14</v>
      </c>
      <c r="Z33" s="7">
        <v>0</v>
      </c>
      <c r="AA33" s="7">
        <v>1.32</v>
      </c>
      <c r="AB33" s="7">
        <v>0</v>
      </c>
      <c r="AC33" s="7">
        <v>12.45</v>
      </c>
      <c r="AD33" s="7" t="s">
        <v>1</v>
      </c>
      <c r="AE33" s="7" t="s">
        <v>1</v>
      </c>
      <c r="AF33" s="7" t="s">
        <v>1</v>
      </c>
      <c r="AG33" s="7">
        <v>22.65</v>
      </c>
      <c r="AH33" s="7">
        <v>0</v>
      </c>
      <c r="AI33" s="7">
        <v>0</v>
      </c>
      <c r="AJ33" s="7">
        <v>22.65</v>
      </c>
      <c r="AK33" s="7">
        <v>0</v>
      </c>
      <c r="AL33" s="7">
        <v>0</v>
      </c>
      <c r="AM33" s="7">
        <v>14</v>
      </c>
      <c r="AN33" s="7">
        <v>0</v>
      </c>
      <c r="AO33" s="7">
        <v>0</v>
      </c>
      <c r="AP33" s="7" t="s">
        <v>235</v>
      </c>
    </row>
    <row r="34" spans="1:42" s="7" customFormat="1" x14ac:dyDescent="0.25">
      <c r="A34" s="7" t="s">
        <v>120</v>
      </c>
      <c r="B34" s="7" t="s">
        <v>236</v>
      </c>
      <c r="C34" s="7" t="s">
        <v>122</v>
      </c>
      <c r="D34" s="7" t="s">
        <v>53</v>
      </c>
      <c r="E34" s="7" t="s">
        <v>123</v>
      </c>
      <c r="F34" s="7" t="s">
        <v>55</v>
      </c>
      <c r="G34" s="7" t="s">
        <v>124</v>
      </c>
      <c r="H34" s="7" t="s">
        <v>57</v>
      </c>
      <c r="I34" s="7" t="s">
        <v>237</v>
      </c>
      <c r="J34" s="7" t="s">
        <v>237</v>
      </c>
      <c r="K34" s="7" t="s">
        <v>238</v>
      </c>
      <c r="L34" s="7" t="s">
        <v>239</v>
      </c>
      <c r="M34" s="7" t="s">
        <v>240</v>
      </c>
      <c r="N34" s="7" t="s">
        <v>241</v>
      </c>
      <c r="O34" s="7" t="s">
        <v>55</v>
      </c>
      <c r="P34" s="7" t="s">
        <v>1</v>
      </c>
      <c r="Q34" s="7" t="s">
        <v>1</v>
      </c>
      <c r="R34" s="7" t="s">
        <v>1</v>
      </c>
      <c r="S34" s="7" t="s">
        <v>1</v>
      </c>
      <c r="T34" s="7">
        <v>62.9</v>
      </c>
      <c r="U34" s="7">
        <v>0</v>
      </c>
      <c r="V34" s="7">
        <v>0</v>
      </c>
      <c r="W34" s="7">
        <v>0.32</v>
      </c>
      <c r="X34" s="7">
        <v>0</v>
      </c>
      <c r="Y34" s="7">
        <v>26.96</v>
      </c>
      <c r="Z34" s="7">
        <v>0</v>
      </c>
      <c r="AA34" s="7">
        <v>1.8</v>
      </c>
      <c r="AB34" s="7">
        <v>0</v>
      </c>
      <c r="AC34" s="7">
        <v>0</v>
      </c>
      <c r="AD34" s="7" t="s">
        <v>1</v>
      </c>
      <c r="AE34" s="7" t="s">
        <v>1</v>
      </c>
      <c r="AF34" s="7" t="s">
        <v>1</v>
      </c>
      <c r="AG34" s="7">
        <v>33.82</v>
      </c>
      <c r="AH34" s="7">
        <v>0</v>
      </c>
      <c r="AI34" s="7">
        <v>0</v>
      </c>
      <c r="AJ34" s="7">
        <v>33.82</v>
      </c>
      <c r="AK34" s="7">
        <v>0</v>
      </c>
      <c r="AL34" s="7">
        <v>0</v>
      </c>
      <c r="AM34" s="7">
        <v>26.96</v>
      </c>
      <c r="AN34" s="7">
        <v>0</v>
      </c>
      <c r="AO34" s="7">
        <v>0</v>
      </c>
      <c r="AP34" s="7" t="s">
        <v>242</v>
      </c>
    </row>
    <row r="35" spans="1:42" s="8" customFormat="1" x14ac:dyDescent="0.25">
      <c r="A35" s="8" t="s">
        <v>243</v>
      </c>
      <c r="B35" s="8" t="s">
        <v>244</v>
      </c>
      <c r="C35" s="8" t="s">
        <v>245</v>
      </c>
      <c r="D35" s="8" t="s">
        <v>53</v>
      </c>
      <c r="E35" s="8" t="s">
        <v>54</v>
      </c>
      <c r="F35" s="8" t="s">
        <v>55</v>
      </c>
      <c r="G35" s="8" t="s">
        <v>124</v>
      </c>
      <c r="H35" s="8" t="s">
        <v>57</v>
      </c>
      <c r="I35" s="8" t="s">
        <v>246</v>
      </c>
      <c r="J35" s="8" t="s">
        <v>247</v>
      </c>
      <c r="K35" s="8" t="s">
        <v>248</v>
      </c>
      <c r="L35" s="8" t="s">
        <v>249</v>
      </c>
      <c r="M35" s="8" t="s">
        <v>250</v>
      </c>
      <c r="N35" s="8" t="s">
        <v>251</v>
      </c>
      <c r="O35" s="8" t="s">
        <v>55</v>
      </c>
      <c r="P35" s="8" t="s">
        <v>1</v>
      </c>
      <c r="Q35" s="8" t="s">
        <v>1</v>
      </c>
      <c r="R35" s="8" t="s">
        <v>1</v>
      </c>
      <c r="S35" s="8" t="s">
        <v>1</v>
      </c>
      <c r="T35" s="8">
        <v>17.899999999999999</v>
      </c>
      <c r="U35" s="8">
        <v>0</v>
      </c>
      <c r="V35" s="8">
        <v>0</v>
      </c>
      <c r="W35" s="8">
        <v>0.85</v>
      </c>
      <c r="X35" s="8">
        <v>0</v>
      </c>
      <c r="Y35" s="8">
        <v>0</v>
      </c>
      <c r="Z35" s="8">
        <v>0</v>
      </c>
      <c r="AA35" s="8">
        <v>0.7</v>
      </c>
      <c r="AB35" s="8">
        <v>0</v>
      </c>
      <c r="AC35" s="8">
        <v>4</v>
      </c>
      <c r="AD35" s="8" t="s">
        <v>1</v>
      </c>
      <c r="AE35" s="8" t="s">
        <v>1</v>
      </c>
      <c r="AF35" s="8" t="s">
        <v>1</v>
      </c>
      <c r="AG35" s="8">
        <v>12.35</v>
      </c>
      <c r="AH35" s="8">
        <v>0</v>
      </c>
      <c r="AI35" s="8">
        <v>0</v>
      </c>
      <c r="AJ35" s="8">
        <v>12.35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 t="s">
        <v>252</v>
      </c>
    </row>
    <row r="36" spans="1:42" s="8" customFormat="1" x14ac:dyDescent="0.25">
      <c r="A36" s="8" t="s">
        <v>243</v>
      </c>
      <c r="B36" s="8" t="s">
        <v>253</v>
      </c>
      <c r="C36" s="8" t="s">
        <v>245</v>
      </c>
      <c r="D36" s="8" t="s">
        <v>53</v>
      </c>
      <c r="E36" s="8" t="s">
        <v>54</v>
      </c>
      <c r="F36" s="8" t="s">
        <v>55</v>
      </c>
      <c r="G36" s="8" t="s">
        <v>124</v>
      </c>
      <c r="H36" s="8" t="s">
        <v>57</v>
      </c>
      <c r="I36" s="8" t="s">
        <v>254</v>
      </c>
      <c r="J36" s="8" t="s">
        <v>255</v>
      </c>
      <c r="K36" s="8" t="s">
        <v>256</v>
      </c>
      <c r="L36" s="8" t="s">
        <v>257</v>
      </c>
      <c r="M36" s="8" t="s">
        <v>258</v>
      </c>
      <c r="N36" s="8" t="s">
        <v>259</v>
      </c>
      <c r="O36" s="8" t="s">
        <v>55</v>
      </c>
      <c r="P36" s="8" t="s">
        <v>1</v>
      </c>
      <c r="Q36" s="8" t="s">
        <v>1</v>
      </c>
      <c r="R36" s="8" t="s">
        <v>1</v>
      </c>
      <c r="S36" s="8" t="s">
        <v>1</v>
      </c>
      <c r="T36" s="8">
        <v>20.9</v>
      </c>
      <c r="U36" s="8">
        <v>0</v>
      </c>
      <c r="V36" s="8">
        <v>0</v>
      </c>
      <c r="W36" s="8">
        <v>0.89</v>
      </c>
      <c r="X36" s="8">
        <v>0</v>
      </c>
      <c r="Y36" s="8">
        <v>6</v>
      </c>
      <c r="Z36" s="8">
        <v>0</v>
      </c>
      <c r="AA36" s="8">
        <v>0.52</v>
      </c>
      <c r="AB36" s="8">
        <v>0</v>
      </c>
      <c r="AC36" s="8">
        <v>4.45</v>
      </c>
      <c r="AD36" s="8" t="s">
        <v>1</v>
      </c>
      <c r="AE36" s="8" t="s">
        <v>1</v>
      </c>
      <c r="AF36" s="8" t="s">
        <v>1</v>
      </c>
      <c r="AG36" s="8">
        <v>9.0399999999999991</v>
      </c>
      <c r="AH36" s="8">
        <v>0</v>
      </c>
      <c r="AI36" s="8">
        <v>0</v>
      </c>
      <c r="AJ36" s="8">
        <v>9.0399999999999991</v>
      </c>
      <c r="AK36" s="8">
        <v>0</v>
      </c>
      <c r="AL36" s="8">
        <v>0</v>
      </c>
      <c r="AM36" s="8">
        <v>6</v>
      </c>
      <c r="AN36" s="8">
        <v>0</v>
      </c>
      <c r="AO36" s="8">
        <v>0</v>
      </c>
      <c r="AP36" s="8" t="s">
        <v>260</v>
      </c>
    </row>
    <row r="37" spans="1:42" s="8" customFormat="1" x14ac:dyDescent="0.25">
      <c r="A37" s="8" t="s">
        <v>243</v>
      </c>
      <c r="B37" s="8" t="s">
        <v>261</v>
      </c>
      <c r="C37" s="8" t="s">
        <v>245</v>
      </c>
      <c r="D37" s="8" t="s">
        <v>53</v>
      </c>
      <c r="E37" s="8" t="s">
        <v>54</v>
      </c>
      <c r="F37" s="8" t="s">
        <v>55</v>
      </c>
      <c r="G37" s="8" t="s">
        <v>124</v>
      </c>
      <c r="H37" s="8" t="s">
        <v>57</v>
      </c>
      <c r="I37" s="8" t="s">
        <v>262</v>
      </c>
      <c r="J37" s="8" t="s">
        <v>262</v>
      </c>
      <c r="K37" s="8" t="s">
        <v>263</v>
      </c>
      <c r="L37" s="8" t="s">
        <v>264</v>
      </c>
      <c r="M37" s="8" t="s">
        <v>265</v>
      </c>
      <c r="N37" s="8" t="s">
        <v>266</v>
      </c>
      <c r="O37" s="8" t="s">
        <v>55</v>
      </c>
      <c r="P37" s="8" t="s">
        <v>1</v>
      </c>
      <c r="Q37" s="8" t="s">
        <v>1</v>
      </c>
      <c r="R37" s="8" t="s">
        <v>1</v>
      </c>
      <c r="S37" s="8" t="s">
        <v>1</v>
      </c>
      <c r="T37" s="8">
        <v>37.799999999999997</v>
      </c>
      <c r="U37" s="8">
        <v>0</v>
      </c>
      <c r="V37" s="8">
        <v>0</v>
      </c>
      <c r="W37" s="8">
        <v>0.28999999999999998</v>
      </c>
      <c r="X37" s="8">
        <v>0</v>
      </c>
      <c r="Y37" s="8">
        <v>5.9</v>
      </c>
      <c r="Z37" s="8">
        <v>0</v>
      </c>
      <c r="AA37" s="8">
        <v>1.6</v>
      </c>
      <c r="AB37" s="8">
        <v>0</v>
      </c>
      <c r="AC37" s="8">
        <v>0</v>
      </c>
      <c r="AD37" s="8" t="s">
        <v>1</v>
      </c>
      <c r="AE37" s="8" t="s">
        <v>1</v>
      </c>
      <c r="AF37" s="8" t="s">
        <v>1</v>
      </c>
      <c r="AG37" s="8">
        <v>30.01</v>
      </c>
      <c r="AH37" s="8">
        <v>0</v>
      </c>
      <c r="AI37" s="8">
        <v>0</v>
      </c>
      <c r="AJ37" s="8">
        <v>30.01</v>
      </c>
      <c r="AK37" s="8">
        <v>0</v>
      </c>
      <c r="AL37" s="8">
        <v>0</v>
      </c>
      <c r="AM37" s="8">
        <v>5.9</v>
      </c>
      <c r="AN37" s="8">
        <v>0</v>
      </c>
      <c r="AO37" s="8">
        <v>0</v>
      </c>
      <c r="AP37" s="8" t="s">
        <v>267</v>
      </c>
    </row>
    <row r="38" spans="1:42" s="8" customFormat="1" x14ac:dyDescent="0.25">
      <c r="A38" s="8" t="s">
        <v>243</v>
      </c>
      <c r="B38" s="8" t="s">
        <v>268</v>
      </c>
      <c r="C38" s="8" t="s">
        <v>245</v>
      </c>
      <c r="D38" s="8" t="s">
        <v>53</v>
      </c>
      <c r="E38" s="8" t="s">
        <v>54</v>
      </c>
      <c r="F38" s="8" t="s">
        <v>55</v>
      </c>
      <c r="G38" s="8" t="s">
        <v>124</v>
      </c>
      <c r="H38" s="8" t="s">
        <v>57</v>
      </c>
      <c r="I38" s="8" t="s">
        <v>269</v>
      </c>
      <c r="J38" s="8" t="s">
        <v>270</v>
      </c>
      <c r="K38" s="8" t="s">
        <v>1</v>
      </c>
      <c r="L38" s="8" t="s">
        <v>271</v>
      </c>
      <c r="M38" s="8" t="s">
        <v>272</v>
      </c>
      <c r="N38" s="8" t="s">
        <v>273</v>
      </c>
      <c r="O38" s="8" t="s">
        <v>55</v>
      </c>
      <c r="P38" s="8" t="s">
        <v>1</v>
      </c>
      <c r="Q38" s="8" t="s">
        <v>1</v>
      </c>
      <c r="R38" s="8" t="s">
        <v>1</v>
      </c>
      <c r="S38" s="8" t="s">
        <v>1</v>
      </c>
      <c r="T38" s="8">
        <v>42.8</v>
      </c>
      <c r="U38" s="8">
        <v>0</v>
      </c>
      <c r="V38" s="8">
        <v>0</v>
      </c>
      <c r="W38" s="8">
        <v>2.42</v>
      </c>
      <c r="X38" s="8">
        <v>0</v>
      </c>
      <c r="Y38" s="8">
        <v>9</v>
      </c>
      <c r="Z38" s="8">
        <v>0</v>
      </c>
      <c r="AA38" s="8">
        <v>1.07</v>
      </c>
      <c r="AB38" s="8">
        <v>0</v>
      </c>
      <c r="AC38" s="8">
        <v>12.4</v>
      </c>
      <c r="AD38" s="8" t="s">
        <v>1</v>
      </c>
      <c r="AE38" s="8" t="s">
        <v>1</v>
      </c>
      <c r="AF38" s="8" t="s">
        <v>1</v>
      </c>
      <c r="AG38" s="8">
        <v>17.91</v>
      </c>
      <c r="AH38" s="8">
        <v>0</v>
      </c>
      <c r="AI38" s="8">
        <v>0</v>
      </c>
      <c r="AJ38" s="8">
        <v>17.91</v>
      </c>
      <c r="AK38" s="8">
        <v>0</v>
      </c>
      <c r="AL38" s="8">
        <v>0</v>
      </c>
      <c r="AM38" s="8">
        <v>9</v>
      </c>
      <c r="AN38" s="8">
        <v>0</v>
      </c>
      <c r="AO38" s="8">
        <v>0</v>
      </c>
      <c r="AP38" s="8" t="s">
        <v>274</v>
      </c>
    </row>
    <row r="39" spans="1:42" s="8" customFormat="1" x14ac:dyDescent="0.25">
      <c r="A39" s="8" t="s">
        <v>243</v>
      </c>
      <c r="B39" s="8" t="s">
        <v>275</v>
      </c>
      <c r="C39" s="8" t="s">
        <v>245</v>
      </c>
      <c r="D39" s="8" t="s">
        <v>53</v>
      </c>
      <c r="E39" s="8" t="s">
        <v>54</v>
      </c>
      <c r="F39" s="8" t="s">
        <v>55</v>
      </c>
      <c r="G39" s="8" t="s">
        <v>124</v>
      </c>
      <c r="H39" s="8" t="s">
        <v>57</v>
      </c>
      <c r="I39" s="8" t="s">
        <v>276</v>
      </c>
      <c r="J39" s="8" t="s">
        <v>277</v>
      </c>
      <c r="K39" s="8" t="s">
        <v>1</v>
      </c>
      <c r="L39" s="8" t="s">
        <v>278</v>
      </c>
      <c r="M39" s="8" t="s">
        <v>279</v>
      </c>
      <c r="N39" s="8" t="s">
        <v>280</v>
      </c>
      <c r="O39" s="8" t="s">
        <v>55</v>
      </c>
      <c r="P39" s="8" t="s">
        <v>1</v>
      </c>
      <c r="Q39" s="8" t="s">
        <v>1</v>
      </c>
      <c r="R39" s="8" t="s">
        <v>1</v>
      </c>
      <c r="S39" s="8" t="s">
        <v>1</v>
      </c>
      <c r="T39" s="8">
        <v>41.7</v>
      </c>
      <c r="U39" s="8">
        <v>0</v>
      </c>
      <c r="V39" s="8">
        <v>0</v>
      </c>
      <c r="W39" s="8">
        <v>2.3199999999999998</v>
      </c>
      <c r="X39" s="8">
        <v>0</v>
      </c>
      <c r="Y39" s="8">
        <v>9</v>
      </c>
      <c r="Z39" s="8">
        <v>0</v>
      </c>
      <c r="AA39" s="8">
        <v>1.04</v>
      </c>
      <c r="AB39" s="8">
        <v>0</v>
      </c>
      <c r="AC39" s="8">
        <v>11.85</v>
      </c>
      <c r="AD39" s="8" t="s">
        <v>1</v>
      </c>
      <c r="AE39" s="8" t="s">
        <v>1</v>
      </c>
      <c r="AF39" s="8" t="s">
        <v>1</v>
      </c>
      <c r="AG39" s="8">
        <v>17.489999999999998</v>
      </c>
      <c r="AH39" s="8">
        <v>0</v>
      </c>
      <c r="AI39" s="8">
        <v>0</v>
      </c>
      <c r="AJ39" s="8">
        <v>17.489999999999998</v>
      </c>
      <c r="AK39" s="8">
        <v>1.45</v>
      </c>
      <c r="AL39" s="8">
        <v>0</v>
      </c>
      <c r="AM39" s="8">
        <v>10.45</v>
      </c>
      <c r="AN39" s="8">
        <v>0</v>
      </c>
      <c r="AO39" s="8">
        <v>0</v>
      </c>
      <c r="AP39" s="8" t="s">
        <v>281</v>
      </c>
    </row>
    <row r="40" spans="1:42" s="8" customFormat="1" x14ac:dyDescent="0.25">
      <c r="A40" s="8" t="s">
        <v>243</v>
      </c>
      <c r="B40" s="8" t="s">
        <v>282</v>
      </c>
      <c r="C40" s="8" t="s">
        <v>245</v>
      </c>
      <c r="D40" s="8" t="s">
        <v>53</v>
      </c>
      <c r="E40" s="8" t="s">
        <v>54</v>
      </c>
      <c r="F40" s="8" t="s">
        <v>55</v>
      </c>
      <c r="G40" s="8" t="s">
        <v>124</v>
      </c>
      <c r="H40" s="8" t="s">
        <v>57</v>
      </c>
      <c r="I40" s="8" t="s">
        <v>283</v>
      </c>
      <c r="J40" s="8" t="s">
        <v>283</v>
      </c>
      <c r="K40" s="8" t="s">
        <v>284</v>
      </c>
      <c r="L40" s="8" t="s">
        <v>285</v>
      </c>
      <c r="M40" s="8" t="s">
        <v>286</v>
      </c>
      <c r="N40" s="8" t="s">
        <v>287</v>
      </c>
      <c r="O40" s="8" t="s">
        <v>55</v>
      </c>
      <c r="P40" s="8" t="s">
        <v>1</v>
      </c>
      <c r="Q40" s="8" t="s">
        <v>1</v>
      </c>
      <c r="R40" s="8" t="s">
        <v>1</v>
      </c>
      <c r="S40" s="8" t="s">
        <v>1</v>
      </c>
      <c r="T40" s="8">
        <v>21.9</v>
      </c>
      <c r="U40" s="8">
        <v>0</v>
      </c>
      <c r="V40" s="8">
        <v>0</v>
      </c>
      <c r="W40" s="8">
        <v>0.99</v>
      </c>
      <c r="X40" s="8">
        <v>0</v>
      </c>
      <c r="Y40" s="8">
        <v>6</v>
      </c>
      <c r="Z40" s="8">
        <v>0</v>
      </c>
      <c r="AA40" s="8">
        <v>0.55000000000000004</v>
      </c>
      <c r="AB40" s="8">
        <v>0</v>
      </c>
      <c r="AC40" s="8">
        <v>4.95</v>
      </c>
      <c r="AD40" s="8" t="s">
        <v>1</v>
      </c>
      <c r="AE40" s="8" t="s">
        <v>1</v>
      </c>
      <c r="AF40" s="8" t="s">
        <v>1</v>
      </c>
      <c r="AG40" s="8">
        <v>9.41</v>
      </c>
      <c r="AH40" s="8">
        <v>0</v>
      </c>
      <c r="AI40" s="8">
        <v>0</v>
      </c>
      <c r="AJ40" s="8">
        <v>9.41</v>
      </c>
      <c r="AK40" s="8">
        <v>3.8</v>
      </c>
      <c r="AL40" s="8">
        <v>0</v>
      </c>
      <c r="AM40" s="8">
        <v>9.8000000000000007</v>
      </c>
      <c r="AN40" s="8">
        <v>0</v>
      </c>
      <c r="AO40" s="8">
        <v>0</v>
      </c>
      <c r="AP40" s="8" t="s">
        <v>288</v>
      </c>
    </row>
    <row r="41" spans="1:42" s="8" customFormat="1" x14ac:dyDescent="0.25">
      <c r="A41" s="8" t="s">
        <v>243</v>
      </c>
      <c r="B41" s="8" t="s">
        <v>289</v>
      </c>
      <c r="C41" s="8" t="s">
        <v>245</v>
      </c>
      <c r="D41" s="8" t="s">
        <v>53</v>
      </c>
      <c r="E41" s="8" t="s">
        <v>54</v>
      </c>
      <c r="F41" s="8" t="s">
        <v>55</v>
      </c>
      <c r="G41" s="8" t="s">
        <v>124</v>
      </c>
      <c r="H41" s="8" t="s">
        <v>57</v>
      </c>
      <c r="I41" s="8" t="s">
        <v>290</v>
      </c>
      <c r="J41" s="8" t="s">
        <v>290</v>
      </c>
      <c r="K41" s="8" t="s">
        <v>291</v>
      </c>
      <c r="L41" s="8" t="s">
        <v>292</v>
      </c>
      <c r="M41" s="8" t="s">
        <v>293</v>
      </c>
      <c r="N41" s="8" t="s">
        <v>294</v>
      </c>
      <c r="O41" s="8" t="s">
        <v>55</v>
      </c>
      <c r="P41" s="8" t="s">
        <v>1</v>
      </c>
      <c r="Q41" s="8" t="s">
        <v>1</v>
      </c>
      <c r="R41" s="8" t="s">
        <v>1</v>
      </c>
      <c r="S41" s="8" t="s">
        <v>1</v>
      </c>
      <c r="T41" s="8">
        <v>24.9</v>
      </c>
      <c r="U41" s="8">
        <v>0</v>
      </c>
      <c r="V41" s="8">
        <v>0</v>
      </c>
      <c r="W41" s="8">
        <v>0.17</v>
      </c>
      <c r="X41" s="8">
        <v>0</v>
      </c>
      <c r="Y41" s="8">
        <v>5.9</v>
      </c>
      <c r="Z41" s="8">
        <v>0</v>
      </c>
      <c r="AA41" s="8">
        <v>0.95</v>
      </c>
      <c r="AB41" s="8">
        <v>0</v>
      </c>
      <c r="AC41" s="8">
        <v>0</v>
      </c>
      <c r="AD41" s="8" t="s">
        <v>1</v>
      </c>
      <c r="AE41" s="8" t="s">
        <v>1</v>
      </c>
      <c r="AF41" s="8" t="s">
        <v>1</v>
      </c>
      <c r="AG41" s="8">
        <v>17.88</v>
      </c>
      <c r="AH41" s="8">
        <v>0</v>
      </c>
      <c r="AI41" s="8">
        <v>0</v>
      </c>
      <c r="AJ41" s="8">
        <v>17.88</v>
      </c>
      <c r="AK41" s="8">
        <v>0</v>
      </c>
      <c r="AL41" s="8">
        <v>0</v>
      </c>
      <c r="AM41" s="8">
        <v>5.9</v>
      </c>
      <c r="AN41" s="8">
        <v>0</v>
      </c>
      <c r="AO41" s="8">
        <v>0</v>
      </c>
      <c r="AP41" s="8" t="s">
        <v>295</v>
      </c>
    </row>
    <row r="42" spans="1:42" x14ac:dyDescent="0.25">
      <c r="A42" t="s">
        <v>243</v>
      </c>
      <c r="B42" t="s">
        <v>296</v>
      </c>
      <c r="C42" t="s">
        <v>245</v>
      </c>
      <c r="D42" t="s">
        <v>53</v>
      </c>
      <c r="E42" t="s">
        <v>1</v>
      </c>
      <c r="F42" t="s">
        <v>55</v>
      </c>
      <c r="G42" t="s">
        <v>124</v>
      </c>
      <c r="H42" t="s">
        <v>70</v>
      </c>
      <c r="I42" t="s">
        <v>1</v>
      </c>
      <c r="J42" t="s">
        <v>1</v>
      </c>
      <c r="K42" t="s">
        <v>1</v>
      </c>
      <c r="L42" t="s">
        <v>297</v>
      </c>
      <c r="M42" t="s">
        <v>1</v>
      </c>
      <c r="N42" t="s">
        <v>1</v>
      </c>
      <c r="O42" t="s">
        <v>55</v>
      </c>
      <c r="P42" t="s">
        <v>1</v>
      </c>
      <c r="Q42" t="s">
        <v>298</v>
      </c>
      <c r="R42" t="s">
        <v>87</v>
      </c>
      <c r="S42" t="s">
        <v>74</v>
      </c>
      <c r="T42">
        <v>24.9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1</v>
      </c>
      <c r="AE42" t="s">
        <v>1</v>
      </c>
      <c r="AF42" t="s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t="s">
        <v>299</v>
      </c>
    </row>
    <row r="43" spans="1:42" s="8" customFormat="1" x14ac:dyDescent="0.25">
      <c r="A43" s="8" t="s">
        <v>243</v>
      </c>
      <c r="B43" s="8" t="s">
        <v>300</v>
      </c>
      <c r="C43" s="8" t="s">
        <v>245</v>
      </c>
      <c r="D43" s="8" t="s">
        <v>53</v>
      </c>
      <c r="E43" s="8" t="s">
        <v>54</v>
      </c>
      <c r="F43" s="8" t="s">
        <v>55</v>
      </c>
      <c r="G43" s="8" t="s">
        <v>124</v>
      </c>
      <c r="H43" s="8" t="s">
        <v>57</v>
      </c>
      <c r="I43" s="8" t="s">
        <v>301</v>
      </c>
      <c r="J43" s="8" t="s">
        <v>301</v>
      </c>
      <c r="K43" s="8" t="s">
        <v>302</v>
      </c>
      <c r="L43" s="8" t="s">
        <v>303</v>
      </c>
      <c r="M43" s="8" t="s">
        <v>304</v>
      </c>
      <c r="N43" s="8" t="s">
        <v>305</v>
      </c>
      <c r="O43" s="8" t="s">
        <v>55</v>
      </c>
      <c r="P43" s="8" t="s">
        <v>1</v>
      </c>
      <c r="Q43" s="8" t="s">
        <v>1</v>
      </c>
      <c r="R43" s="8" t="s">
        <v>1</v>
      </c>
      <c r="S43" s="8" t="s">
        <v>1</v>
      </c>
      <c r="T43" s="8">
        <v>45.8</v>
      </c>
      <c r="U43" s="8">
        <v>0</v>
      </c>
      <c r="V43" s="8">
        <v>0</v>
      </c>
      <c r="W43" s="8">
        <v>1.81</v>
      </c>
      <c r="X43" s="8">
        <v>0</v>
      </c>
      <c r="Y43" s="8">
        <v>14</v>
      </c>
      <c r="Z43" s="8">
        <v>0</v>
      </c>
      <c r="AA43" s="8">
        <v>1.1499999999999999</v>
      </c>
      <c r="AB43" s="8">
        <v>0</v>
      </c>
      <c r="AC43" s="8">
        <v>8.9</v>
      </c>
      <c r="AD43" s="8" t="s">
        <v>1</v>
      </c>
      <c r="AE43" s="8" t="s">
        <v>1</v>
      </c>
      <c r="AF43" s="8" t="s">
        <v>1</v>
      </c>
      <c r="AG43" s="8">
        <v>19.940000000000001</v>
      </c>
      <c r="AH43" s="8">
        <v>0</v>
      </c>
      <c r="AI43" s="8">
        <v>0</v>
      </c>
      <c r="AJ43" s="8">
        <v>19.940000000000001</v>
      </c>
      <c r="AK43" s="8">
        <v>3.45</v>
      </c>
      <c r="AL43" s="8">
        <v>0</v>
      </c>
      <c r="AM43" s="8">
        <v>17.45</v>
      </c>
      <c r="AN43" s="8">
        <v>0</v>
      </c>
      <c r="AO43" s="8">
        <v>0</v>
      </c>
      <c r="AP43" s="8" t="s">
        <v>306</v>
      </c>
    </row>
    <row r="44" spans="1:42" s="8" customFormat="1" x14ac:dyDescent="0.25">
      <c r="A44" s="8" t="s">
        <v>243</v>
      </c>
      <c r="B44" s="8" t="s">
        <v>307</v>
      </c>
      <c r="C44" s="8" t="s">
        <v>245</v>
      </c>
      <c r="D44" s="8" t="s">
        <v>53</v>
      </c>
      <c r="E44" s="8" t="s">
        <v>54</v>
      </c>
      <c r="F44" s="8" t="s">
        <v>55</v>
      </c>
      <c r="G44" s="8" t="s">
        <v>124</v>
      </c>
      <c r="H44" s="8" t="s">
        <v>57</v>
      </c>
      <c r="I44" s="8" t="s">
        <v>308</v>
      </c>
      <c r="J44" s="8" t="s">
        <v>308</v>
      </c>
      <c r="K44" s="8" t="s">
        <v>1</v>
      </c>
      <c r="L44" s="8" t="s">
        <v>309</v>
      </c>
      <c r="M44" s="8" t="s">
        <v>310</v>
      </c>
      <c r="N44" s="8" t="s">
        <v>311</v>
      </c>
      <c r="O44" s="8" t="s">
        <v>55</v>
      </c>
      <c r="P44" s="8" t="s">
        <v>1</v>
      </c>
      <c r="Q44" s="8" t="s">
        <v>1</v>
      </c>
      <c r="R44" s="8" t="s">
        <v>1</v>
      </c>
      <c r="S44" s="8" t="s">
        <v>1</v>
      </c>
      <c r="T44" s="8">
        <v>43.8</v>
      </c>
      <c r="U44" s="8">
        <v>0</v>
      </c>
      <c r="V44" s="8">
        <v>0</v>
      </c>
      <c r="W44" s="8">
        <v>2.52</v>
      </c>
      <c r="X44" s="8">
        <v>0</v>
      </c>
      <c r="Y44" s="8">
        <v>9</v>
      </c>
      <c r="Z44" s="8">
        <v>0</v>
      </c>
      <c r="AA44" s="8">
        <v>1.1000000000000001</v>
      </c>
      <c r="AB44" s="8">
        <v>0</v>
      </c>
      <c r="AC44" s="8">
        <v>12.9</v>
      </c>
      <c r="AD44" s="8" t="s">
        <v>1</v>
      </c>
      <c r="AE44" s="8" t="s">
        <v>1</v>
      </c>
      <c r="AF44" s="8" t="s">
        <v>1</v>
      </c>
      <c r="AG44" s="8">
        <v>18.28</v>
      </c>
      <c r="AH44" s="8">
        <v>0</v>
      </c>
      <c r="AI44" s="8">
        <v>0</v>
      </c>
      <c r="AJ44" s="8">
        <v>18.28</v>
      </c>
      <c r="AK44" s="8">
        <v>2.7</v>
      </c>
      <c r="AL44" s="8">
        <v>0</v>
      </c>
      <c r="AM44" s="8">
        <v>11.7</v>
      </c>
      <c r="AN44" s="8">
        <v>0</v>
      </c>
      <c r="AO44" s="8">
        <v>0</v>
      </c>
      <c r="AP44" s="8" t="s">
        <v>312</v>
      </c>
    </row>
    <row r="45" spans="1:42" s="8" customFormat="1" x14ac:dyDescent="0.25">
      <c r="A45" s="8" t="s">
        <v>243</v>
      </c>
      <c r="B45" s="8" t="s">
        <v>313</v>
      </c>
      <c r="C45" s="8" t="s">
        <v>245</v>
      </c>
      <c r="D45" s="8" t="s">
        <v>53</v>
      </c>
      <c r="E45" s="8" t="s">
        <v>123</v>
      </c>
      <c r="F45" s="8" t="s">
        <v>55</v>
      </c>
      <c r="G45" s="8" t="s">
        <v>124</v>
      </c>
      <c r="H45" s="8" t="s">
        <v>57</v>
      </c>
      <c r="I45" s="8" t="s">
        <v>314</v>
      </c>
      <c r="J45" s="8" t="s">
        <v>314</v>
      </c>
      <c r="K45" s="8" t="s">
        <v>315</v>
      </c>
      <c r="L45" s="8" t="s">
        <v>316</v>
      </c>
      <c r="M45" s="8" t="s">
        <v>317</v>
      </c>
      <c r="N45" s="8" t="s">
        <v>318</v>
      </c>
      <c r="O45" s="8" t="s">
        <v>55</v>
      </c>
      <c r="P45" s="8" t="s">
        <v>1</v>
      </c>
      <c r="Q45" s="8" t="s">
        <v>1</v>
      </c>
      <c r="R45" s="8" t="s">
        <v>1</v>
      </c>
      <c r="S45" s="8" t="s">
        <v>1</v>
      </c>
      <c r="T45" s="8">
        <v>49.8</v>
      </c>
      <c r="U45" s="8">
        <v>0</v>
      </c>
      <c r="V45" s="8">
        <v>0</v>
      </c>
      <c r="W45" s="8">
        <v>2.19</v>
      </c>
      <c r="X45" s="8">
        <v>0</v>
      </c>
      <c r="Y45" s="8">
        <v>14</v>
      </c>
      <c r="Z45" s="8">
        <v>0</v>
      </c>
      <c r="AA45" s="8">
        <v>1.25</v>
      </c>
      <c r="AB45" s="8">
        <v>0</v>
      </c>
      <c r="AC45" s="8">
        <v>10.9</v>
      </c>
      <c r="AD45" s="8" t="s">
        <v>1</v>
      </c>
      <c r="AE45" s="8" t="s">
        <v>1</v>
      </c>
      <c r="AF45" s="8" t="s">
        <v>1</v>
      </c>
      <c r="AG45" s="8">
        <v>21.46</v>
      </c>
      <c r="AH45" s="8">
        <v>0</v>
      </c>
      <c r="AI45" s="8">
        <v>0</v>
      </c>
      <c r="AJ45" s="8">
        <v>21.46</v>
      </c>
      <c r="AK45" s="8">
        <v>0</v>
      </c>
      <c r="AL45" s="8">
        <v>0</v>
      </c>
      <c r="AM45" s="8">
        <v>14</v>
      </c>
      <c r="AN45" s="8">
        <v>0</v>
      </c>
      <c r="AO45" s="8">
        <v>0</v>
      </c>
      <c r="AP45" s="8" t="s">
        <v>319</v>
      </c>
    </row>
    <row r="46" spans="1:42" s="8" customFormat="1" x14ac:dyDescent="0.25">
      <c r="A46" s="8" t="s">
        <v>243</v>
      </c>
      <c r="B46" s="8" t="s">
        <v>320</v>
      </c>
      <c r="C46" s="8" t="s">
        <v>245</v>
      </c>
      <c r="D46" s="8" t="s">
        <v>53</v>
      </c>
      <c r="E46" s="8" t="s">
        <v>54</v>
      </c>
      <c r="F46" s="8" t="s">
        <v>55</v>
      </c>
      <c r="G46" s="8" t="s">
        <v>124</v>
      </c>
      <c r="H46" s="8" t="s">
        <v>57</v>
      </c>
      <c r="I46" s="8" t="s">
        <v>321</v>
      </c>
      <c r="J46" s="8" t="s">
        <v>321</v>
      </c>
      <c r="K46" s="8" t="s">
        <v>322</v>
      </c>
      <c r="L46" s="8" t="s">
        <v>323</v>
      </c>
      <c r="M46" s="8" t="s">
        <v>324</v>
      </c>
      <c r="N46" s="8" t="s">
        <v>325</v>
      </c>
      <c r="O46" s="8" t="s">
        <v>55</v>
      </c>
      <c r="P46" s="8" t="s">
        <v>1</v>
      </c>
      <c r="Q46" s="8" t="s">
        <v>1</v>
      </c>
      <c r="R46" s="8" t="s">
        <v>1</v>
      </c>
      <c r="S46" s="8" t="s">
        <v>1</v>
      </c>
      <c r="T46" s="8">
        <v>41.8</v>
      </c>
      <c r="U46" s="8">
        <v>0</v>
      </c>
      <c r="V46" s="8">
        <v>0</v>
      </c>
      <c r="W46" s="8">
        <v>2.33</v>
      </c>
      <c r="X46" s="8">
        <v>0</v>
      </c>
      <c r="Y46" s="8">
        <v>9</v>
      </c>
      <c r="Z46" s="8">
        <v>0</v>
      </c>
      <c r="AA46" s="8">
        <v>1.05</v>
      </c>
      <c r="AB46" s="8">
        <v>0</v>
      </c>
      <c r="AC46" s="8">
        <v>11.9</v>
      </c>
      <c r="AD46" s="8" t="s">
        <v>1</v>
      </c>
      <c r="AE46" s="8" t="s">
        <v>1</v>
      </c>
      <c r="AF46" s="8" t="s">
        <v>1</v>
      </c>
      <c r="AG46" s="8">
        <v>17.52</v>
      </c>
      <c r="AH46" s="8">
        <v>0</v>
      </c>
      <c r="AI46" s="8">
        <v>0</v>
      </c>
      <c r="AJ46" s="8">
        <v>17.52</v>
      </c>
      <c r="AK46" s="8">
        <v>6.4</v>
      </c>
      <c r="AL46" s="8">
        <v>0</v>
      </c>
      <c r="AM46" s="8">
        <v>15.4</v>
      </c>
      <c r="AN46" s="8">
        <v>0</v>
      </c>
      <c r="AO46" s="8">
        <v>0</v>
      </c>
      <c r="AP46" s="8" t="s">
        <v>326</v>
      </c>
    </row>
    <row r="47" spans="1:42" s="9" customFormat="1" x14ac:dyDescent="0.25">
      <c r="A47" s="9" t="s">
        <v>243</v>
      </c>
      <c r="B47" s="9" t="s">
        <v>327</v>
      </c>
      <c r="C47" s="9" t="s">
        <v>245</v>
      </c>
      <c r="D47" s="9" t="s">
        <v>53</v>
      </c>
      <c r="E47" s="9" t="s">
        <v>54</v>
      </c>
      <c r="F47" s="9" t="s">
        <v>55</v>
      </c>
      <c r="G47" s="9" t="s">
        <v>124</v>
      </c>
      <c r="H47" s="9" t="s">
        <v>57</v>
      </c>
      <c r="I47" s="9" t="s">
        <v>328</v>
      </c>
      <c r="J47" s="9" t="s">
        <v>328</v>
      </c>
      <c r="K47" s="9" t="s">
        <v>1</v>
      </c>
      <c r="L47" s="9" t="s">
        <v>329</v>
      </c>
      <c r="M47" s="9" t="s">
        <v>330</v>
      </c>
      <c r="N47" s="9" t="s">
        <v>331</v>
      </c>
      <c r="O47" s="9" t="s">
        <v>332</v>
      </c>
      <c r="P47" s="9" t="s">
        <v>333</v>
      </c>
      <c r="Q47" s="9" t="s">
        <v>1</v>
      </c>
      <c r="R47" s="9" t="s">
        <v>1</v>
      </c>
      <c r="S47" s="9" t="s">
        <v>1</v>
      </c>
      <c r="T47" s="9">
        <v>48.8</v>
      </c>
      <c r="U47" s="9">
        <v>0</v>
      </c>
      <c r="V47" s="9">
        <v>0</v>
      </c>
      <c r="W47" s="9">
        <v>2.09</v>
      </c>
      <c r="X47" s="9">
        <v>0</v>
      </c>
      <c r="Y47" s="9">
        <v>14</v>
      </c>
      <c r="Z47" s="9">
        <v>0</v>
      </c>
      <c r="AA47" s="9">
        <v>1.22</v>
      </c>
      <c r="AB47" s="9">
        <v>20.27</v>
      </c>
      <c r="AC47" s="9">
        <v>10.4</v>
      </c>
      <c r="AD47" s="9" t="s">
        <v>1</v>
      </c>
      <c r="AE47" s="9" t="s">
        <v>1</v>
      </c>
      <c r="AF47" s="9" t="s">
        <v>1</v>
      </c>
      <c r="AG47" s="9">
        <v>0.82</v>
      </c>
      <c r="AH47" s="9">
        <v>0</v>
      </c>
      <c r="AI47" s="9">
        <v>0</v>
      </c>
      <c r="AJ47" s="9">
        <v>0.82</v>
      </c>
      <c r="AK47" s="9">
        <v>4.4000000000000004</v>
      </c>
      <c r="AL47" s="9">
        <v>0</v>
      </c>
      <c r="AM47" s="9">
        <v>18.399999999999999</v>
      </c>
      <c r="AN47" s="9">
        <v>0</v>
      </c>
      <c r="AO47" s="9">
        <v>0</v>
      </c>
      <c r="AP47" s="9" t="s">
        <v>334</v>
      </c>
    </row>
    <row r="48" spans="1:42" s="8" customFormat="1" x14ac:dyDescent="0.25">
      <c r="A48" s="8" t="s">
        <v>243</v>
      </c>
      <c r="B48" s="8" t="s">
        <v>335</v>
      </c>
      <c r="C48" s="8" t="s">
        <v>245</v>
      </c>
      <c r="D48" s="8" t="s">
        <v>53</v>
      </c>
      <c r="E48" s="8" t="s">
        <v>123</v>
      </c>
      <c r="F48" s="8" t="s">
        <v>55</v>
      </c>
      <c r="G48" s="8" t="s">
        <v>124</v>
      </c>
      <c r="H48" s="8" t="s">
        <v>57</v>
      </c>
      <c r="I48" s="8" t="s">
        <v>336</v>
      </c>
      <c r="J48" s="8" t="s">
        <v>336</v>
      </c>
      <c r="K48" s="8" t="s">
        <v>337</v>
      </c>
      <c r="L48" s="8" t="s">
        <v>338</v>
      </c>
      <c r="M48" s="8" t="s">
        <v>339</v>
      </c>
      <c r="N48" s="8" t="s">
        <v>340</v>
      </c>
      <c r="O48" s="8" t="s">
        <v>55</v>
      </c>
      <c r="P48" s="8" t="s">
        <v>1</v>
      </c>
      <c r="Q48" s="8" t="s">
        <v>1</v>
      </c>
      <c r="R48" s="8" t="s">
        <v>1</v>
      </c>
      <c r="S48" s="8" t="s">
        <v>1</v>
      </c>
      <c r="T48" s="8">
        <v>41.8</v>
      </c>
      <c r="U48" s="8">
        <v>0</v>
      </c>
      <c r="V48" s="8">
        <v>0</v>
      </c>
      <c r="W48" s="8">
        <v>0.23</v>
      </c>
      <c r="X48" s="8">
        <v>0</v>
      </c>
      <c r="Y48" s="8">
        <v>16.72</v>
      </c>
      <c r="Z48" s="8">
        <v>0</v>
      </c>
      <c r="AA48" s="8">
        <v>1.25</v>
      </c>
      <c r="AB48" s="8">
        <v>0</v>
      </c>
      <c r="AC48" s="8">
        <v>0</v>
      </c>
      <c r="AD48" s="8" t="s">
        <v>1</v>
      </c>
      <c r="AE48" s="8" t="s">
        <v>1</v>
      </c>
      <c r="AF48" s="8" t="s">
        <v>1</v>
      </c>
      <c r="AG48" s="8">
        <v>23.6</v>
      </c>
      <c r="AH48" s="8">
        <v>0</v>
      </c>
      <c r="AI48" s="8">
        <v>0</v>
      </c>
      <c r="AJ48" s="8">
        <v>23.6</v>
      </c>
      <c r="AK48" s="8">
        <v>0</v>
      </c>
      <c r="AL48" s="8">
        <v>0</v>
      </c>
      <c r="AM48" s="8">
        <v>16.72</v>
      </c>
      <c r="AN48" s="8">
        <v>0</v>
      </c>
      <c r="AO48" s="8">
        <v>0</v>
      </c>
      <c r="AP48" s="8" t="s">
        <v>326</v>
      </c>
    </row>
    <row r="49" spans="1:42" s="8" customFormat="1" x14ac:dyDescent="0.25">
      <c r="A49" s="8" t="s">
        <v>243</v>
      </c>
      <c r="B49" s="8" t="s">
        <v>341</v>
      </c>
      <c r="C49" s="8" t="s">
        <v>245</v>
      </c>
      <c r="D49" s="8" t="s">
        <v>53</v>
      </c>
      <c r="E49" s="8" t="s">
        <v>54</v>
      </c>
      <c r="F49" s="8" t="s">
        <v>55</v>
      </c>
      <c r="G49" s="8" t="s">
        <v>124</v>
      </c>
      <c r="H49" s="8" t="s">
        <v>57</v>
      </c>
      <c r="I49" s="8" t="s">
        <v>342</v>
      </c>
      <c r="J49" s="8" t="s">
        <v>343</v>
      </c>
      <c r="K49" s="8" t="s">
        <v>344</v>
      </c>
      <c r="L49" s="8" t="s">
        <v>345</v>
      </c>
      <c r="M49" s="8" t="s">
        <v>346</v>
      </c>
      <c r="N49" s="8" t="s">
        <v>347</v>
      </c>
      <c r="O49" s="8" t="s">
        <v>55</v>
      </c>
      <c r="P49" s="8" t="s">
        <v>1</v>
      </c>
      <c r="Q49" s="8" t="s">
        <v>1</v>
      </c>
      <c r="R49" s="8" t="s">
        <v>1</v>
      </c>
      <c r="S49" s="8" t="s">
        <v>1</v>
      </c>
      <c r="T49" s="8">
        <v>29.9</v>
      </c>
      <c r="U49" s="8">
        <v>0</v>
      </c>
      <c r="V49" s="8">
        <v>0</v>
      </c>
      <c r="W49" s="8">
        <v>0.19</v>
      </c>
      <c r="X49" s="8">
        <v>0</v>
      </c>
      <c r="Y49" s="8">
        <v>8.36</v>
      </c>
      <c r="Z49" s="8">
        <v>0</v>
      </c>
      <c r="AA49" s="8">
        <v>1.08</v>
      </c>
      <c r="AB49" s="8">
        <v>0</v>
      </c>
      <c r="AC49" s="8">
        <v>0</v>
      </c>
      <c r="AD49" s="8" t="s">
        <v>1</v>
      </c>
      <c r="AE49" s="8" t="s">
        <v>1</v>
      </c>
      <c r="AF49" s="8" t="s">
        <v>1</v>
      </c>
      <c r="AG49" s="8">
        <v>20.27</v>
      </c>
      <c r="AH49" s="8">
        <v>0</v>
      </c>
      <c r="AI49" s="8">
        <v>0</v>
      </c>
      <c r="AJ49" s="8">
        <v>20.27</v>
      </c>
      <c r="AK49" s="8">
        <v>0</v>
      </c>
      <c r="AL49" s="8">
        <v>0</v>
      </c>
      <c r="AM49" s="8">
        <v>8.36</v>
      </c>
      <c r="AN49" s="8">
        <v>0</v>
      </c>
      <c r="AO49" s="8">
        <v>0</v>
      </c>
      <c r="AP49" s="8" t="s">
        <v>348</v>
      </c>
    </row>
    <row r="50" spans="1:42" s="8" customFormat="1" x14ac:dyDescent="0.25">
      <c r="A50" s="8" t="s">
        <v>243</v>
      </c>
      <c r="B50" s="8" t="s">
        <v>349</v>
      </c>
      <c r="C50" s="8" t="s">
        <v>245</v>
      </c>
      <c r="D50" s="8" t="s">
        <v>53</v>
      </c>
      <c r="E50" s="8" t="s">
        <v>54</v>
      </c>
      <c r="F50" s="8" t="s">
        <v>55</v>
      </c>
      <c r="G50" s="8" t="s">
        <v>124</v>
      </c>
      <c r="H50" s="8" t="s">
        <v>57</v>
      </c>
      <c r="I50" s="8" t="s">
        <v>350</v>
      </c>
      <c r="J50" s="8" t="s">
        <v>350</v>
      </c>
      <c r="K50" s="8" t="s">
        <v>351</v>
      </c>
      <c r="L50" s="8" t="s">
        <v>352</v>
      </c>
      <c r="M50" s="8" t="s">
        <v>353</v>
      </c>
      <c r="N50" s="8" t="s">
        <v>354</v>
      </c>
      <c r="O50" s="8" t="s">
        <v>55</v>
      </c>
      <c r="P50" s="8" t="s">
        <v>1</v>
      </c>
      <c r="Q50" s="8" t="s">
        <v>1</v>
      </c>
      <c r="R50" s="8" t="s">
        <v>1</v>
      </c>
      <c r="S50" s="8" t="s">
        <v>1</v>
      </c>
      <c r="T50" s="8">
        <v>20.9</v>
      </c>
      <c r="U50" s="8">
        <v>0</v>
      </c>
      <c r="V50" s="8">
        <v>0</v>
      </c>
      <c r="W50" s="8">
        <v>0.89</v>
      </c>
      <c r="X50" s="8">
        <v>0</v>
      </c>
      <c r="Y50" s="8">
        <v>6</v>
      </c>
      <c r="Z50" s="8">
        <v>0</v>
      </c>
      <c r="AA50" s="8">
        <v>0.52</v>
      </c>
      <c r="AB50" s="8">
        <v>0</v>
      </c>
      <c r="AC50" s="8">
        <v>4.45</v>
      </c>
      <c r="AD50" s="8" t="s">
        <v>1</v>
      </c>
      <c r="AE50" s="8" t="s">
        <v>1</v>
      </c>
      <c r="AF50" s="8" t="s">
        <v>1</v>
      </c>
      <c r="AG50" s="8">
        <v>9.0399999999999991</v>
      </c>
      <c r="AH50" s="8">
        <v>0</v>
      </c>
      <c r="AI50" s="8">
        <v>0</v>
      </c>
      <c r="AJ50" s="8">
        <v>9.0399999999999991</v>
      </c>
      <c r="AK50" s="8">
        <v>0</v>
      </c>
      <c r="AL50" s="8">
        <v>0</v>
      </c>
      <c r="AM50" s="8">
        <v>6</v>
      </c>
      <c r="AN50" s="8">
        <v>0</v>
      </c>
      <c r="AO50" s="8">
        <v>0</v>
      </c>
      <c r="AP50" s="8" t="s">
        <v>355</v>
      </c>
    </row>
    <row r="51" spans="1:42" s="8" customFormat="1" x14ac:dyDescent="0.25">
      <c r="A51" s="8" t="s">
        <v>243</v>
      </c>
      <c r="B51" s="8" t="s">
        <v>356</v>
      </c>
      <c r="C51" s="8" t="s">
        <v>245</v>
      </c>
      <c r="D51" s="8" t="s">
        <v>53</v>
      </c>
      <c r="E51" s="8" t="s">
        <v>54</v>
      </c>
      <c r="F51" s="8" t="s">
        <v>55</v>
      </c>
      <c r="G51" s="8" t="s">
        <v>124</v>
      </c>
      <c r="H51" s="8" t="s">
        <v>57</v>
      </c>
      <c r="I51" s="8" t="s">
        <v>357</v>
      </c>
      <c r="J51" s="8" t="s">
        <v>357</v>
      </c>
      <c r="K51" s="8" t="s">
        <v>358</v>
      </c>
      <c r="L51" s="8" t="s">
        <v>359</v>
      </c>
      <c r="M51" s="8" t="s">
        <v>360</v>
      </c>
      <c r="N51" s="8" t="s">
        <v>361</v>
      </c>
      <c r="O51" s="8" t="s">
        <v>55</v>
      </c>
      <c r="P51" s="8" t="s">
        <v>1</v>
      </c>
      <c r="Q51" s="8" t="s">
        <v>1</v>
      </c>
      <c r="R51" s="8" t="s">
        <v>1</v>
      </c>
      <c r="S51" s="8" t="s">
        <v>1</v>
      </c>
      <c r="T51" s="8">
        <v>24.9</v>
      </c>
      <c r="U51" s="8">
        <v>0</v>
      </c>
      <c r="V51" s="8">
        <v>0</v>
      </c>
      <c r="W51" s="8">
        <v>0.17</v>
      </c>
      <c r="X51" s="8">
        <v>0</v>
      </c>
      <c r="Y51" s="8">
        <v>5.9</v>
      </c>
      <c r="Z51" s="8">
        <v>0</v>
      </c>
      <c r="AA51" s="8">
        <v>0.95</v>
      </c>
      <c r="AB51" s="8">
        <v>0</v>
      </c>
      <c r="AC51" s="8">
        <v>0</v>
      </c>
      <c r="AD51" s="8" t="s">
        <v>1</v>
      </c>
      <c r="AE51" s="8" t="s">
        <v>1</v>
      </c>
      <c r="AF51" s="8" t="s">
        <v>1</v>
      </c>
      <c r="AG51" s="8">
        <v>17.88</v>
      </c>
      <c r="AH51" s="8">
        <v>0</v>
      </c>
      <c r="AI51" s="8">
        <v>0</v>
      </c>
      <c r="AJ51" s="8">
        <v>17.88</v>
      </c>
      <c r="AK51" s="8">
        <v>3.4</v>
      </c>
      <c r="AL51" s="8">
        <v>0</v>
      </c>
      <c r="AM51" s="8">
        <v>9.3000000000000007</v>
      </c>
      <c r="AN51" s="8">
        <v>0</v>
      </c>
      <c r="AO51" s="8">
        <v>0</v>
      </c>
      <c r="AP51" s="8" t="s">
        <v>362</v>
      </c>
    </row>
    <row r="52" spans="1:42" s="8" customFormat="1" x14ac:dyDescent="0.25">
      <c r="A52" s="8" t="s">
        <v>243</v>
      </c>
      <c r="B52" s="8" t="s">
        <v>363</v>
      </c>
      <c r="C52" s="8" t="s">
        <v>245</v>
      </c>
      <c r="D52" s="8" t="s">
        <v>53</v>
      </c>
      <c r="E52" s="8" t="s">
        <v>54</v>
      </c>
      <c r="F52" s="8" t="s">
        <v>55</v>
      </c>
      <c r="G52" s="8" t="s">
        <v>124</v>
      </c>
      <c r="H52" s="8" t="s">
        <v>57</v>
      </c>
      <c r="I52" s="8" t="s">
        <v>364</v>
      </c>
      <c r="J52" s="8" t="s">
        <v>364</v>
      </c>
      <c r="K52" s="8" t="s">
        <v>365</v>
      </c>
      <c r="L52" s="8" t="s">
        <v>366</v>
      </c>
      <c r="M52" s="8" t="s">
        <v>367</v>
      </c>
      <c r="N52" s="8" t="s">
        <v>368</v>
      </c>
      <c r="O52" s="8" t="s">
        <v>55</v>
      </c>
      <c r="P52" s="8" t="s">
        <v>1</v>
      </c>
      <c r="Q52" s="8" t="s">
        <v>1</v>
      </c>
      <c r="R52" s="8" t="s">
        <v>1</v>
      </c>
      <c r="S52" s="8" t="s">
        <v>1</v>
      </c>
      <c r="T52" s="8">
        <v>30.9</v>
      </c>
      <c r="U52" s="8">
        <v>0</v>
      </c>
      <c r="V52" s="8">
        <v>0</v>
      </c>
      <c r="W52" s="8">
        <v>1.3</v>
      </c>
      <c r="X52" s="8">
        <v>0</v>
      </c>
      <c r="Y52" s="8">
        <v>9</v>
      </c>
      <c r="Z52" s="8">
        <v>0</v>
      </c>
      <c r="AA52" s="8">
        <v>0.77</v>
      </c>
      <c r="AB52" s="8">
        <v>0</v>
      </c>
      <c r="AC52" s="8">
        <v>6.45</v>
      </c>
      <c r="AD52" s="8" t="s">
        <v>1</v>
      </c>
      <c r="AE52" s="8" t="s">
        <v>1</v>
      </c>
      <c r="AF52" s="8" t="s">
        <v>1</v>
      </c>
      <c r="AG52" s="8">
        <v>13.38</v>
      </c>
      <c r="AH52" s="8">
        <v>0</v>
      </c>
      <c r="AI52" s="8">
        <v>0</v>
      </c>
      <c r="AJ52" s="8">
        <v>13.38</v>
      </c>
      <c r="AK52" s="8">
        <v>2.9</v>
      </c>
      <c r="AL52" s="8">
        <v>0</v>
      </c>
      <c r="AM52" s="8">
        <v>11.9</v>
      </c>
      <c r="AN52" s="8">
        <v>0</v>
      </c>
      <c r="AO52" s="8">
        <v>0</v>
      </c>
      <c r="AP52" s="8" t="s">
        <v>369</v>
      </c>
    </row>
    <row r="53" spans="1:42" s="8" customFormat="1" x14ac:dyDescent="0.25">
      <c r="A53" s="8" t="s">
        <v>243</v>
      </c>
      <c r="B53" s="8" t="s">
        <v>370</v>
      </c>
      <c r="C53" s="8" t="s">
        <v>245</v>
      </c>
      <c r="D53" s="8" t="s">
        <v>53</v>
      </c>
      <c r="E53" s="8" t="s">
        <v>54</v>
      </c>
      <c r="F53" s="8" t="s">
        <v>55</v>
      </c>
      <c r="G53" s="8" t="s">
        <v>124</v>
      </c>
      <c r="H53" s="8" t="s">
        <v>57</v>
      </c>
      <c r="I53" s="8" t="s">
        <v>371</v>
      </c>
      <c r="J53" s="8" t="s">
        <v>371</v>
      </c>
      <c r="K53" s="8" t="s">
        <v>372</v>
      </c>
      <c r="L53" s="8" t="s">
        <v>371</v>
      </c>
      <c r="M53" s="8" t="s">
        <v>373</v>
      </c>
      <c r="N53" s="8" t="s">
        <v>374</v>
      </c>
      <c r="O53" s="8" t="s">
        <v>55</v>
      </c>
      <c r="P53" s="8" t="s">
        <v>1</v>
      </c>
      <c r="Q53" s="8" t="s">
        <v>1</v>
      </c>
      <c r="R53" s="8" t="s">
        <v>1</v>
      </c>
      <c r="S53" s="8" t="s">
        <v>1</v>
      </c>
      <c r="T53" s="8">
        <v>18.899999999999999</v>
      </c>
      <c r="U53" s="8">
        <v>0</v>
      </c>
      <c r="V53" s="8">
        <v>0</v>
      </c>
      <c r="W53" s="8">
        <v>0.86</v>
      </c>
      <c r="X53" s="8">
        <v>0</v>
      </c>
      <c r="Y53" s="8">
        <v>0</v>
      </c>
      <c r="Z53" s="8">
        <v>0</v>
      </c>
      <c r="AA53" s="8">
        <v>0.75</v>
      </c>
      <c r="AB53" s="8">
        <v>0</v>
      </c>
      <c r="AC53" s="8">
        <v>4</v>
      </c>
      <c r="AD53" s="8" t="s">
        <v>1</v>
      </c>
      <c r="AE53" s="8" t="s">
        <v>1</v>
      </c>
      <c r="AF53" s="8" t="s">
        <v>1</v>
      </c>
      <c r="AG53" s="8">
        <v>13.29</v>
      </c>
      <c r="AH53" s="8">
        <v>0</v>
      </c>
      <c r="AI53" s="8">
        <v>0</v>
      </c>
      <c r="AJ53" s="8">
        <v>13.29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 t="s">
        <v>375</v>
      </c>
    </row>
    <row r="54" spans="1:42" s="8" customFormat="1" x14ac:dyDescent="0.25">
      <c r="A54" s="8" t="s">
        <v>243</v>
      </c>
      <c r="B54" s="8" t="s">
        <v>376</v>
      </c>
      <c r="C54" s="8" t="s">
        <v>245</v>
      </c>
      <c r="D54" s="8" t="s">
        <v>53</v>
      </c>
      <c r="E54" s="8" t="s">
        <v>54</v>
      </c>
      <c r="F54" s="8" t="s">
        <v>55</v>
      </c>
      <c r="G54" s="8" t="s">
        <v>124</v>
      </c>
      <c r="H54" s="8" t="s">
        <v>57</v>
      </c>
      <c r="I54" s="8" t="s">
        <v>377</v>
      </c>
      <c r="J54" s="8" t="s">
        <v>377</v>
      </c>
      <c r="K54" s="8" t="s">
        <v>1</v>
      </c>
      <c r="L54" s="8" t="s">
        <v>378</v>
      </c>
      <c r="M54" s="8" t="s">
        <v>379</v>
      </c>
      <c r="N54" s="8" t="s">
        <v>380</v>
      </c>
      <c r="O54" s="8" t="s">
        <v>55</v>
      </c>
      <c r="P54" s="8" t="s">
        <v>1</v>
      </c>
      <c r="Q54" s="8" t="s">
        <v>1</v>
      </c>
      <c r="R54" s="8" t="s">
        <v>1</v>
      </c>
      <c r="S54" s="8" t="s">
        <v>1</v>
      </c>
      <c r="T54" s="8">
        <v>24.9</v>
      </c>
      <c r="U54" s="8">
        <v>0</v>
      </c>
      <c r="V54" s="8">
        <v>0</v>
      </c>
      <c r="W54" s="8">
        <v>1.27</v>
      </c>
      <c r="X54" s="8">
        <v>0</v>
      </c>
      <c r="Y54" s="8">
        <v>6</v>
      </c>
      <c r="Z54" s="8">
        <v>0</v>
      </c>
      <c r="AA54" s="8">
        <v>0.62</v>
      </c>
      <c r="AB54" s="8">
        <v>0</v>
      </c>
      <c r="AC54" s="8">
        <v>6.45</v>
      </c>
      <c r="AD54" s="8" t="s">
        <v>1</v>
      </c>
      <c r="AE54" s="8" t="s">
        <v>1</v>
      </c>
      <c r="AF54" s="8" t="s">
        <v>1</v>
      </c>
      <c r="AG54" s="8">
        <v>10.56</v>
      </c>
      <c r="AH54" s="8">
        <v>0</v>
      </c>
      <c r="AI54" s="8">
        <v>0</v>
      </c>
      <c r="AJ54" s="8">
        <v>10.56</v>
      </c>
      <c r="AK54" s="8">
        <v>0</v>
      </c>
      <c r="AL54" s="8">
        <v>0</v>
      </c>
      <c r="AM54" s="8">
        <v>6</v>
      </c>
      <c r="AN54" s="8">
        <v>0</v>
      </c>
      <c r="AO54" s="8">
        <v>0</v>
      </c>
      <c r="AP54" s="8" t="s">
        <v>381</v>
      </c>
    </row>
    <row r="55" spans="1:42" x14ac:dyDescent="0.25">
      <c r="A55" t="s">
        <v>243</v>
      </c>
      <c r="B55" t="s">
        <v>382</v>
      </c>
      <c r="C55" t="s">
        <v>245</v>
      </c>
      <c r="D55" t="s">
        <v>53</v>
      </c>
      <c r="E55" t="s">
        <v>1</v>
      </c>
      <c r="F55" t="s">
        <v>55</v>
      </c>
      <c r="G55" t="s">
        <v>124</v>
      </c>
      <c r="H55" t="s">
        <v>70</v>
      </c>
      <c r="I55" t="s">
        <v>383</v>
      </c>
      <c r="J55" t="s">
        <v>383</v>
      </c>
      <c r="K55" t="s">
        <v>1</v>
      </c>
      <c r="L55" t="s">
        <v>384</v>
      </c>
      <c r="M55" t="s">
        <v>1</v>
      </c>
      <c r="N55" t="s">
        <v>1</v>
      </c>
      <c r="O55" t="s">
        <v>55</v>
      </c>
      <c r="P55" t="s">
        <v>1</v>
      </c>
      <c r="Q55" t="s">
        <v>385</v>
      </c>
      <c r="R55" t="s">
        <v>386</v>
      </c>
      <c r="S55" t="s">
        <v>167</v>
      </c>
      <c r="T55">
        <v>70.7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1</v>
      </c>
      <c r="AE55" t="s">
        <v>1</v>
      </c>
      <c r="AF55" t="s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t="s">
        <v>387</v>
      </c>
    </row>
    <row r="56" spans="1:42" s="8" customFormat="1" x14ac:dyDescent="0.25">
      <c r="A56" s="8" t="s">
        <v>243</v>
      </c>
      <c r="B56" s="8" t="s">
        <v>388</v>
      </c>
      <c r="C56" s="8" t="s">
        <v>245</v>
      </c>
      <c r="D56" s="8" t="s">
        <v>53</v>
      </c>
      <c r="E56" s="8" t="s">
        <v>54</v>
      </c>
      <c r="F56" s="8" t="s">
        <v>55</v>
      </c>
      <c r="G56" s="8" t="s">
        <v>124</v>
      </c>
      <c r="H56" s="8" t="s">
        <v>57</v>
      </c>
      <c r="I56" s="8" t="s">
        <v>389</v>
      </c>
      <c r="J56" s="8" t="s">
        <v>390</v>
      </c>
      <c r="K56" s="8" t="s">
        <v>391</v>
      </c>
      <c r="L56" s="8" t="s">
        <v>392</v>
      </c>
      <c r="M56" s="8" t="s">
        <v>393</v>
      </c>
      <c r="N56" s="8" t="s">
        <v>394</v>
      </c>
      <c r="O56" s="8" t="s">
        <v>55</v>
      </c>
      <c r="P56" s="8" t="s">
        <v>1</v>
      </c>
      <c r="Q56" s="8" t="s">
        <v>1</v>
      </c>
      <c r="R56" s="8" t="s">
        <v>1</v>
      </c>
      <c r="S56" s="8" t="s">
        <v>1</v>
      </c>
      <c r="T56" s="8">
        <v>24.9</v>
      </c>
      <c r="U56" s="8">
        <v>0</v>
      </c>
      <c r="V56" s="8">
        <v>0</v>
      </c>
      <c r="W56" s="8">
        <v>0.17</v>
      </c>
      <c r="X56" s="8">
        <v>0</v>
      </c>
      <c r="Y56" s="8">
        <v>5.9</v>
      </c>
      <c r="Z56" s="8">
        <v>0</v>
      </c>
      <c r="AA56" s="8">
        <v>0.95</v>
      </c>
      <c r="AB56" s="8">
        <v>0</v>
      </c>
      <c r="AC56" s="8">
        <v>0</v>
      </c>
      <c r="AD56" s="8" t="s">
        <v>1</v>
      </c>
      <c r="AE56" s="8" t="s">
        <v>1</v>
      </c>
      <c r="AF56" s="8" t="s">
        <v>1</v>
      </c>
      <c r="AG56" s="8">
        <v>17.88</v>
      </c>
      <c r="AH56" s="8">
        <v>0</v>
      </c>
      <c r="AI56" s="8">
        <v>0</v>
      </c>
      <c r="AJ56" s="8">
        <v>17.88</v>
      </c>
      <c r="AK56" s="8">
        <v>4.4000000000000004</v>
      </c>
      <c r="AL56" s="8">
        <v>0</v>
      </c>
      <c r="AM56" s="8">
        <v>10.3</v>
      </c>
      <c r="AN56" s="8">
        <v>0</v>
      </c>
      <c r="AO56" s="8">
        <v>0</v>
      </c>
      <c r="AP56" s="8" t="s">
        <v>395</v>
      </c>
    </row>
    <row r="57" spans="1:42" s="8" customFormat="1" x14ac:dyDescent="0.25">
      <c r="A57" s="8" t="s">
        <v>243</v>
      </c>
      <c r="B57" s="8" t="s">
        <v>396</v>
      </c>
      <c r="C57" s="8" t="s">
        <v>245</v>
      </c>
      <c r="D57" s="8" t="s">
        <v>53</v>
      </c>
      <c r="E57" s="8" t="s">
        <v>54</v>
      </c>
      <c r="F57" s="8" t="s">
        <v>55</v>
      </c>
      <c r="G57" s="8" t="s">
        <v>124</v>
      </c>
      <c r="H57" s="8" t="s">
        <v>57</v>
      </c>
      <c r="I57" s="8" t="s">
        <v>397</v>
      </c>
      <c r="J57" s="8" t="s">
        <v>398</v>
      </c>
      <c r="K57" s="8" t="s">
        <v>399</v>
      </c>
      <c r="L57" s="8" t="s">
        <v>400</v>
      </c>
      <c r="M57" s="8" t="s">
        <v>401</v>
      </c>
      <c r="N57" s="8" t="s">
        <v>402</v>
      </c>
      <c r="O57" s="8" t="s">
        <v>55</v>
      </c>
      <c r="P57" s="8" t="s">
        <v>1</v>
      </c>
      <c r="Q57" s="8" t="s">
        <v>1</v>
      </c>
      <c r="R57" s="8" t="s">
        <v>1</v>
      </c>
      <c r="S57" s="8" t="s">
        <v>1</v>
      </c>
      <c r="T57" s="8">
        <v>21.9</v>
      </c>
      <c r="U57" s="8">
        <v>0</v>
      </c>
      <c r="V57" s="8">
        <v>0</v>
      </c>
      <c r="W57" s="8">
        <v>0.99</v>
      </c>
      <c r="X57" s="8">
        <v>0</v>
      </c>
      <c r="Y57" s="8">
        <v>6</v>
      </c>
      <c r="Z57" s="8">
        <v>0</v>
      </c>
      <c r="AA57" s="8">
        <v>0.55000000000000004</v>
      </c>
      <c r="AB57" s="8">
        <v>0</v>
      </c>
      <c r="AC57" s="8">
        <v>4.95</v>
      </c>
      <c r="AD57" s="8" t="s">
        <v>1</v>
      </c>
      <c r="AE57" s="8" t="s">
        <v>1</v>
      </c>
      <c r="AF57" s="8" t="s">
        <v>1</v>
      </c>
      <c r="AG57" s="8">
        <v>9.41</v>
      </c>
      <c r="AH57" s="8">
        <v>0</v>
      </c>
      <c r="AI57" s="8">
        <v>0</v>
      </c>
      <c r="AJ57" s="8">
        <v>9.41</v>
      </c>
      <c r="AK57" s="8">
        <v>0</v>
      </c>
      <c r="AL57" s="8">
        <v>0</v>
      </c>
      <c r="AM57" s="8">
        <v>6</v>
      </c>
      <c r="AN57" s="8">
        <v>0</v>
      </c>
      <c r="AO57" s="8">
        <v>0</v>
      </c>
      <c r="AP57" s="8" t="s">
        <v>403</v>
      </c>
    </row>
    <row r="58" spans="1:42" s="8" customFormat="1" x14ac:dyDescent="0.25">
      <c r="A58" s="8" t="s">
        <v>243</v>
      </c>
      <c r="B58" s="8" t="s">
        <v>404</v>
      </c>
      <c r="C58" s="8" t="s">
        <v>245</v>
      </c>
      <c r="D58" s="8" t="s">
        <v>53</v>
      </c>
      <c r="E58" s="8" t="s">
        <v>54</v>
      </c>
      <c r="F58" s="8" t="s">
        <v>55</v>
      </c>
      <c r="G58" s="8" t="s">
        <v>124</v>
      </c>
      <c r="H58" s="8" t="s">
        <v>57</v>
      </c>
      <c r="I58" s="8" t="s">
        <v>405</v>
      </c>
      <c r="J58" s="8" t="s">
        <v>405</v>
      </c>
      <c r="K58" s="8" t="s">
        <v>406</v>
      </c>
      <c r="L58" s="8" t="s">
        <v>407</v>
      </c>
      <c r="M58" s="8" t="s">
        <v>408</v>
      </c>
      <c r="N58" s="8" t="s">
        <v>409</v>
      </c>
      <c r="O58" s="8" t="s">
        <v>55</v>
      </c>
      <c r="P58" s="8" t="s">
        <v>1</v>
      </c>
      <c r="Q58" s="8" t="s">
        <v>1</v>
      </c>
      <c r="R58" s="8" t="s">
        <v>1</v>
      </c>
      <c r="S58" s="8" t="s">
        <v>1</v>
      </c>
      <c r="T58" s="8">
        <v>69.7</v>
      </c>
      <c r="U58" s="8">
        <v>0</v>
      </c>
      <c r="V58" s="8">
        <v>0</v>
      </c>
      <c r="W58" s="8">
        <v>0.41</v>
      </c>
      <c r="X58" s="8">
        <v>0</v>
      </c>
      <c r="Y58" s="8">
        <v>23.88</v>
      </c>
      <c r="Z58" s="8">
        <v>0</v>
      </c>
      <c r="AA58" s="8">
        <v>2.29</v>
      </c>
      <c r="AB58" s="8">
        <v>0</v>
      </c>
      <c r="AC58" s="8">
        <v>0</v>
      </c>
      <c r="AD58" s="8" t="s">
        <v>1</v>
      </c>
      <c r="AE58" s="8" t="s">
        <v>1</v>
      </c>
      <c r="AF58" s="8" t="s">
        <v>1</v>
      </c>
      <c r="AG58" s="8">
        <v>43.12</v>
      </c>
      <c r="AH58" s="8">
        <v>0</v>
      </c>
      <c r="AI58" s="8">
        <v>0</v>
      </c>
      <c r="AJ58" s="8">
        <v>43.12</v>
      </c>
      <c r="AK58" s="8">
        <v>8.4</v>
      </c>
      <c r="AL58" s="8">
        <v>0</v>
      </c>
      <c r="AM58" s="8">
        <v>32.28</v>
      </c>
      <c r="AN58" s="8">
        <v>0</v>
      </c>
      <c r="AO58" s="8">
        <v>0</v>
      </c>
      <c r="AP58" s="8" t="s">
        <v>410</v>
      </c>
    </row>
    <row r="59" spans="1:42" s="9" customFormat="1" x14ac:dyDescent="0.25">
      <c r="A59" s="9" t="s">
        <v>243</v>
      </c>
      <c r="B59" s="9" t="s">
        <v>411</v>
      </c>
      <c r="C59" s="9" t="s">
        <v>245</v>
      </c>
      <c r="D59" s="9" t="s">
        <v>53</v>
      </c>
      <c r="E59" s="9" t="s">
        <v>54</v>
      </c>
      <c r="F59" s="9" t="s">
        <v>55</v>
      </c>
      <c r="G59" s="9" t="s">
        <v>124</v>
      </c>
      <c r="H59" s="9" t="s">
        <v>57</v>
      </c>
      <c r="I59" s="9" t="s">
        <v>412</v>
      </c>
      <c r="J59" s="9" t="s">
        <v>412</v>
      </c>
      <c r="K59" s="9" t="s">
        <v>413</v>
      </c>
      <c r="L59" s="9" t="s">
        <v>414</v>
      </c>
      <c r="M59" s="9" t="s">
        <v>415</v>
      </c>
      <c r="N59" s="9" t="s">
        <v>416</v>
      </c>
      <c r="O59" s="9" t="s">
        <v>332</v>
      </c>
      <c r="P59" s="9" t="s">
        <v>333</v>
      </c>
      <c r="Q59" s="9" t="s">
        <v>1</v>
      </c>
      <c r="R59" s="9" t="s">
        <v>1</v>
      </c>
      <c r="S59" s="9" t="s">
        <v>1</v>
      </c>
      <c r="T59" s="9">
        <v>70.7</v>
      </c>
      <c r="U59" s="9">
        <v>0</v>
      </c>
      <c r="V59" s="9">
        <v>0</v>
      </c>
      <c r="W59" s="9">
        <v>0.5</v>
      </c>
      <c r="X59" s="9">
        <v>0</v>
      </c>
      <c r="Y59" s="9">
        <v>15.52</v>
      </c>
      <c r="Z59" s="9">
        <v>0</v>
      </c>
      <c r="AA59" s="9">
        <v>2.76</v>
      </c>
      <c r="AB59" s="9">
        <v>14.09</v>
      </c>
      <c r="AC59" s="9">
        <v>0</v>
      </c>
      <c r="AD59" s="9" t="s">
        <v>1</v>
      </c>
      <c r="AE59" s="9" t="s">
        <v>1</v>
      </c>
      <c r="AF59" s="9" t="s">
        <v>1</v>
      </c>
      <c r="AG59" s="9">
        <v>37.83</v>
      </c>
      <c r="AH59" s="9">
        <v>0</v>
      </c>
      <c r="AI59" s="9">
        <v>0</v>
      </c>
      <c r="AJ59" s="9">
        <v>37.83</v>
      </c>
      <c r="AK59" s="9">
        <v>0</v>
      </c>
      <c r="AL59" s="9">
        <v>0</v>
      </c>
      <c r="AM59" s="9">
        <v>15.52</v>
      </c>
      <c r="AN59" s="9">
        <v>0</v>
      </c>
      <c r="AO59" s="9">
        <v>0</v>
      </c>
      <c r="AP59" s="9" t="s">
        <v>417</v>
      </c>
    </row>
    <row r="60" spans="1:42" s="8" customFormat="1" x14ac:dyDescent="0.25">
      <c r="A60" s="8" t="s">
        <v>243</v>
      </c>
      <c r="B60" s="8" t="s">
        <v>418</v>
      </c>
      <c r="C60" s="8" t="s">
        <v>245</v>
      </c>
      <c r="D60" s="8" t="s">
        <v>53</v>
      </c>
      <c r="E60" s="8" t="s">
        <v>54</v>
      </c>
      <c r="F60" s="8" t="s">
        <v>55</v>
      </c>
      <c r="G60" s="8" t="s">
        <v>124</v>
      </c>
      <c r="H60" s="8" t="s">
        <v>57</v>
      </c>
      <c r="I60" s="8" t="s">
        <v>419</v>
      </c>
      <c r="J60" s="8" t="s">
        <v>419</v>
      </c>
      <c r="K60" s="8" t="s">
        <v>420</v>
      </c>
      <c r="L60" s="8" t="s">
        <v>421</v>
      </c>
      <c r="M60" s="8" t="s">
        <v>422</v>
      </c>
      <c r="N60" s="8" t="s">
        <v>232</v>
      </c>
      <c r="O60" s="8" t="s">
        <v>55</v>
      </c>
      <c r="P60" s="8" t="s">
        <v>1</v>
      </c>
      <c r="Q60" s="8" t="s">
        <v>1</v>
      </c>
      <c r="R60" s="8" t="s">
        <v>1</v>
      </c>
      <c r="S60" s="8" t="s">
        <v>1</v>
      </c>
      <c r="T60" s="8">
        <v>66.7</v>
      </c>
      <c r="U60" s="8">
        <v>0</v>
      </c>
      <c r="V60" s="8">
        <v>0</v>
      </c>
      <c r="W60" s="8">
        <v>3.78</v>
      </c>
      <c r="X60" s="8">
        <v>0</v>
      </c>
      <c r="Y60" s="8">
        <v>14</v>
      </c>
      <c r="Z60" s="8">
        <v>0</v>
      </c>
      <c r="AA60" s="8">
        <v>1.67</v>
      </c>
      <c r="AB60" s="8">
        <v>0</v>
      </c>
      <c r="AC60" s="8">
        <v>19.350000000000001</v>
      </c>
      <c r="AD60" s="8" t="s">
        <v>1</v>
      </c>
      <c r="AE60" s="8" t="s">
        <v>1</v>
      </c>
      <c r="AF60" s="8" t="s">
        <v>1</v>
      </c>
      <c r="AG60" s="8">
        <v>27.9</v>
      </c>
      <c r="AH60" s="8">
        <v>0</v>
      </c>
      <c r="AI60" s="8">
        <v>0</v>
      </c>
      <c r="AJ60" s="8">
        <v>27.9</v>
      </c>
      <c r="AK60" s="8">
        <v>2.4</v>
      </c>
      <c r="AL60" s="8">
        <v>0</v>
      </c>
      <c r="AM60" s="8">
        <v>16.399999999999999</v>
      </c>
      <c r="AN60" s="8">
        <v>0</v>
      </c>
      <c r="AO60" s="8">
        <v>0</v>
      </c>
      <c r="AP60" s="8" t="s">
        <v>423</v>
      </c>
    </row>
    <row r="61" spans="1:42" s="8" customFormat="1" x14ac:dyDescent="0.25">
      <c r="A61" s="8" t="s">
        <v>243</v>
      </c>
      <c r="B61" s="8" t="s">
        <v>424</v>
      </c>
      <c r="C61" s="8" t="s">
        <v>245</v>
      </c>
      <c r="D61" s="8" t="s">
        <v>53</v>
      </c>
      <c r="E61" s="8" t="s">
        <v>123</v>
      </c>
      <c r="F61" s="8" t="s">
        <v>55</v>
      </c>
      <c r="G61" s="8" t="s">
        <v>124</v>
      </c>
      <c r="H61" s="8" t="s">
        <v>57</v>
      </c>
      <c r="I61" s="8" t="s">
        <v>425</v>
      </c>
      <c r="J61" s="8" t="s">
        <v>425</v>
      </c>
      <c r="K61" s="8" t="s">
        <v>426</v>
      </c>
      <c r="L61" s="8" t="s">
        <v>427</v>
      </c>
      <c r="M61" s="8" t="s">
        <v>428</v>
      </c>
      <c r="N61" s="8" t="s">
        <v>429</v>
      </c>
      <c r="O61" s="8" t="s">
        <v>55</v>
      </c>
      <c r="P61" s="8" t="s">
        <v>1</v>
      </c>
      <c r="Q61" s="8" t="s">
        <v>1</v>
      </c>
      <c r="R61" s="8" t="s">
        <v>1</v>
      </c>
      <c r="S61" s="8" t="s">
        <v>1</v>
      </c>
      <c r="T61" s="8">
        <v>72.7</v>
      </c>
      <c r="U61" s="8">
        <v>0</v>
      </c>
      <c r="V61" s="8">
        <v>0</v>
      </c>
      <c r="W61" s="8">
        <v>0.45</v>
      </c>
      <c r="X61" s="8">
        <v>0</v>
      </c>
      <c r="Y61" s="8">
        <v>22.68</v>
      </c>
      <c r="Z61" s="8">
        <v>0</v>
      </c>
      <c r="AA61" s="8">
        <v>2.5</v>
      </c>
      <c r="AB61" s="8">
        <v>0</v>
      </c>
      <c r="AC61" s="8">
        <v>0</v>
      </c>
      <c r="AD61" s="8" t="s">
        <v>1</v>
      </c>
      <c r="AE61" s="8" t="s">
        <v>1</v>
      </c>
      <c r="AF61" s="8" t="s">
        <v>1</v>
      </c>
      <c r="AG61" s="8">
        <v>47.07</v>
      </c>
      <c r="AH61" s="8">
        <v>0</v>
      </c>
      <c r="AI61" s="8">
        <v>0</v>
      </c>
      <c r="AJ61" s="8">
        <v>47.07</v>
      </c>
      <c r="AK61" s="8">
        <v>0</v>
      </c>
      <c r="AL61" s="8">
        <v>0</v>
      </c>
      <c r="AM61" s="8">
        <v>22.68</v>
      </c>
      <c r="AN61" s="8">
        <v>0</v>
      </c>
      <c r="AO61" s="8">
        <v>0</v>
      </c>
      <c r="AP61" s="8" t="s">
        <v>430</v>
      </c>
    </row>
    <row r="62" spans="1:42" s="8" customFormat="1" x14ac:dyDescent="0.25">
      <c r="A62" s="8" t="s">
        <v>243</v>
      </c>
      <c r="B62" s="8" t="s">
        <v>431</v>
      </c>
      <c r="C62" s="8" t="s">
        <v>245</v>
      </c>
      <c r="D62" s="8" t="s">
        <v>53</v>
      </c>
      <c r="E62" s="8" t="s">
        <v>54</v>
      </c>
      <c r="F62" s="8" t="s">
        <v>55</v>
      </c>
      <c r="G62" s="8" t="s">
        <v>124</v>
      </c>
      <c r="H62" s="8" t="s">
        <v>57</v>
      </c>
      <c r="I62" s="8" t="s">
        <v>432</v>
      </c>
      <c r="J62" s="8" t="s">
        <v>432</v>
      </c>
      <c r="K62" s="8" t="s">
        <v>433</v>
      </c>
      <c r="L62" s="8" t="s">
        <v>434</v>
      </c>
      <c r="M62" s="8" t="s">
        <v>433</v>
      </c>
      <c r="N62" s="8" t="s">
        <v>435</v>
      </c>
      <c r="O62" s="8" t="s">
        <v>55</v>
      </c>
      <c r="P62" s="8" t="s">
        <v>1</v>
      </c>
      <c r="Q62" s="8" t="s">
        <v>1</v>
      </c>
      <c r="R62" s="8" t="s">
        <v>1</v>
      </c>
      <c r="S62" s="8" t="s">
        <v>1</v>
      </c>
      <c r="T62" s="8">
        <v>30.9</v>
      </c>
      <c r="U62" s="8">
        <v>0</v>
      </c>
      <c r="V62" s="8">
        <v>0</v>
      </c>
      <c r="W62" s="8">
        <v>0.2</v>
      </c>
      <c r="X62" s="8">
        <v>0</v>
      </c>
      <c r="Y62" s="8">
        <v>8.36</v>
      </c>
      <c r="Z62" s="8">
        <v>0</v>
      </c>
      <c r="AA62" s="8">
        <v>1.1299999999999999</v>
      </c>
      <c r="AB62" s="8">
        <v>0</v>
      </c>
      <c r="AC62" s="8">
        <v>0</v>
      </c>
      <c r="AD62" s="8" t="s">
        <v>1</v>
      </c>
      <c r="AE62" s="8" t="s">
        <v>1</v>
      </c>
      <c r="AF62" s="8" t="s">
        <v>1</v>
      </c>
      <c r="AG62" s="8">
        <v>21.21</v>
      </c>
      <c r="AH62" s="8">
        <v>0</v>
      </c>
      <c r="AI62" s="8">
        <v>0</v>
      </c>
      <c r="AJ62" s="8">
        <v>21.21</v>
      </c>
      <c r="AK62" s="8">
        <v>0</v>
      </c>
      <c r="AL62" s="8">
        <v>0</v>
      </c>
      <c r="AM62" s="8">
        <v>8.36</v>
      </c>
      <c r="AN62" s="8">
        <v>0</v>
      </c>
      <c r="AO62" s="8">
        <v>0</v>
      </c>
      <c r="AP62" s="8" t="s">
        <v>436</v>
      </c>
    </row>
    <row r="63" spans="1:42" s="8" customFormat="1" x14ac:dyDescent="0.25">
      <c r="A63" s="8" t="s">
        <v>243</v>
      </c>
      <c r="B63" s="8" t="s">
        <v>437</v>
      </c>
      <c r="C63" s="8" t="s">
        <v>245</v>
      </c>
      <c r="D63" s="8" t="s">
        <v>53</v>
      </c>
      <c r="E63" s="8" t="s">
        <v>54</v>
      </c>
      <c r="F63" s="8" t="s">
        <v>55</v>
      </c>
      <c r="G63" s="8" t="s">
        <v>124</v>
      </c>
      <c r="H63" s="8" t="s">
        <v>57</v>
      </c>
      <c r="I63" s="8" t="s">
        <v>438</v>
      </c>
      <c r="J63" s="8" t="s">
        <v>438</v>
      </c>
      <c r="K63" s="8" t="s">
        <v>439</v>
      </c>
      <c r="L63" s="8" t="s">
        <v>440</v>
      </c>
      <c r="M63" s="8" t="s">
        <v>441</v>
      </c>
      <c r="N63" s="8" t="s">
        <v>442</v>
      </c>
      <c r="O63" s="8" t="s">
        <v>55</v>
      </c>
      <c r="P63" s="8" t="s">
        <v>1</v>
      </c>
      <c r="Q63" s="8" t="s">
        <v>1</v>
      </c>
      <c r="R63" s="8" t="s">
        <v>1</v>
      </c>
      <c r="S63" s="8" t="s">
        <v>1</v>
      </c>
      <c r="T63" s="8">
        <v>41.8</v>
      </c>
      <c r="U63" s="8">
        <v>0</v>
      </c>
      <c r="V63" s="8">
        <v>0</v>
      </c>
      <c r="W63" s="8">
        <v>0.23</v>
      </c>
      <c r="X63" s="8">
        <v>0</v>
      </c>
      <c r="Y63" s="8">
        <v>16.72</v>
      </c>
      <c r="Z63" s="8">
        <v>0</v>
      </c>
      <c r="AA63" s="8">
        <v>1.25</v>
      </c>
      <c r="AB63" s="8">
        <v>0</v>
      </c>
      <c r="AC63" s="8">
        <v>0</v>
      </c>
      <c r="AD63" s="8" t="s">
        <v>1</v>
      </c>
      <c r="AE63" s="8" t="s">
        <v>1</v>
      </c>
      <c r="AF63" s="8" t="s">
        <v>1</v>
      </c>
      <c r="AG63" s="8">
        <v>23.6</v>
      </c>
      <c r="AH63" s="8">
        <v>0</v>
      </c>
      <c r="AI63" s="8">
        <v>0</v>
      </c>
      <c r="AJ63" s="8">
        <v>23.6</v>
      </c>
      <c r="AK63" s="8">
        <v>0</v>
      </c>
      <c r="AL63" s="8">
        <v>0</v>
      </c>
      <c r="AM63" s="8">
        <v>16.72</v>
      </c>
      <c r="AN63" s="8">
        <v>0</v>
      </c>
      <c r="AO63" s="8">
        <v>0</v>
      </c>
      <c r="AP63" s="8" t="s">
        <v>443</v>
      </c>
    </row>
    <row r="64" spans="1:42" s="8" customFormat="1" x14ac:dyDescent="0.25">
      <c r="A64" s="8" t="s">
        <v>243</v>
      </c>
      <c r="B64" s="8" t="s">
        <v>444</v>
      </c>
      <c r="C64" s="8" t="s">
        <v>245</v>
      </c>
      <c r="D64" s="8" t="s">
        <v>53</v>
      </c>
      <c r="E64" s="8" t="s">
        <v>54</v>
      </c>
      <c r="F64" s="8" t="s">
        <v>55</v>
      </c>
      <c r="G64" s="8" t="s">
        <v>124</v>
      </c>
      <c r="H64" s="8" t="s">
        <v>57</v>
      </c>
      <c r="I64" s="8" t="s">
        <v>445</v>
      </c>
      <c r="J64" s="8" t="s">
        <v>445</v>
      </c>
      <c r="K64" s="8" t="s">
        <v>446</v>
      </c>
      <c r="L64" s="8" t="s">
        <v>447</v>
      </c>
      <c r="M64" s="8" t="s">
        <v>448</v>
      </c>
      <c r="N64" s="8" t="s">
        <v>449</v>
      </c>
      <c r="O64" s="8" t="s">
        <v>55</v>
      </c>
      <c r="P64" s="8" t="s">
        <v>1</v>
      </c>
      <c r="Q64" s="8" t="s">
        <v>1</v>
      </c>
      <c r="R64" s="8" t="s">
        <v>1</v>
      </c>
      <c r="S64" s="8" t="s">
        <v>1</v>
      </c>
      <c r="T64" s="8">
        <v>26.9</v>
      </c>
      <c r="U64" s="8">
        <v>0</v>
      </c>
      <c r="V64" s="8">
        <v>0</v>
      </c>
      <c r="W64" s="8">
        <v>0.17</v>
      </c>
      <c r="X64" s="8">
        <v>0</v>
      </c>
      <c r="Y64" s="8">
        <v>8.36</v>
      </c>
      <c r="Z64" s="8">
        <v>0</v>
      </c>
      <c r="AA64" s="8">
        <v>0.93</v>
      </c>
      <c r="AB64" s="8">
        <v>0</v>
      </c>
      <c r="AC64" s="8">
        <v>0</v>
      </c>
      <c r="AD64" s="8" t="s">
        <v>1</v>
      </c>
      <c r="AE64" s="8" t="s">
        <v>1</v>
      </c>
      <c r="AF64" s="8" t="s">
        <v>1</v>
      </c>
      <c r="AG64" s="8">
        <v>17.440000000000001</v>
      </c>
      <c r="AH64" s="8">
        <v>0</v>
      </c>
      <c r="AI64" s="8">
        <v>0</v>
      </c>
      <c r="AJ64" s="8">
        <v>17.440000000000001</v>
      </c>
      <c r="AK64" s="8">
        <v>0</v>
      </c>
      <c r="AL64" s="8">
        <v>0</v>
      </c>
      <c r="AM64" s="8">
        <v>8.36</v>
      </c>
      <c r="AN64" s="8">
        <v>0</v>
      </c>
      <c r="AO64" s="8">
        <v>0</v>
      </c>
      <c r="AP64" s="8" t="s">
        <v>450</v>
      </c>
    </row>
    <row r="65" spans="1:42" s="8" customFormat="1" x14ac:dyDescent="0.25">
      <c r="A65" s="8" t="s">
        <v>243</v>
      </c>
      <c r="B65" s="8" t="s">
        <v>451</v>
      </c>
      <c r="C65" s="8" t="s">
        <v>245</v>
      </c>
      <c r="D65" s="8" t="s">
        <v>53</v>
      </c>
      <c r="E65" s="8" t="s">
        <v>54</v>
      </c>
      <c r="F65" s="8" t="s">
        <v>55</v>
      </c>
      <c r="G65" s="8" t="s">
        <v>124</v>
      </c>
      <c r="H65" s="8" t="s">
        <v>57</v>
      </c>
      <c r="I65" s="8" t="s">
        <v>452</v>
      </c>
      <c r="J65" s="8" t="s">
        <v>452</v>
      </c>
      <c r="K65" s="8" t="s">
        <v>441</v>
      </c>
      <c r="L65" s="8" t="s">
        <v>453</v>
      </c>
      <c r="M65" s="8" t="s">
        <v>454</v>
      </c>
      <c r="N65" s="8" t="s">
        <v>455</v>
      </c>
      <c r="O65" s="8" t="s">
        <v>55</v>
      </c>
      <c r="P65" s="8" t="s">
        <v>1</v>
      </c>
      <c r="Q65" s="8" t="s">
        <v>1</v>
      </c>
      <c r="R65" s="8" t="s">
        <v>1</v>
      </c>
      <c r="S65" s="8" t="s">
        <v>1</v>
      </c>
      <c r="T65" s="8">
        <v>63.7</v>
      </c>
      <c r="U65" s="8">
        <v>0</v>
      </c>
      <c r="V65" s="8">
        <v>0</v>
      </c>
      <c r="W65" s="8">
        <v>0.36</v>
      </c>
      <c r="X65" s="8">
        <v>0</v>
      </c>
      <c r="Y65" s="8">
        <v>23.48</v>
      </c>
      <c r="Z65" s="8">
        <v>0</v>
      </c>
      <c r="AA65" s="8">
        <v>2.0099999999999998</v>
      </c>
      <c r="AB65" s="8">
        <v>0</v>
      </c>
      <c r="AC65" s="8">
        <v>0</v>
      </c>
      <c r="AD65" s="8" t="s">
        <v>1</v>
      </c>
      <c r="AE65" s="8" t="s">
        <v>1</v>
      </c>
      <c r="AF65" s="8" t="s">
        <v>1</v>
      </c>
      <c r="AG65" s="8">
        <v>37.85</v>
      </c>
      <c r="AH65" s="8">
        <v>0</v>
      </c>
      <c r="AI65" s="8">
        <v>0</v>
      </c>
      <c r="AJ65" s="8">
        <v>37.85</v>
      </c>
      <c r="AK65" s="8">
        <v>24.9</v>
      </c>
      <c r="AL65" s="8">
        <v>0</v>
      </c>
      <c r="AM65" s="8">
        <v>48.38</v>
      </c>
      <c r="AN65" s="8">
        <v>0</v>
      </c>
      <c r="AO65" s="8">
        <v>0</v>
      </c>
      <c r="AP65" s="8" t="s">
        <v>456</v>
      </c>
    </row>
    <row r="69" spans="1:42" s="7" customFormat="1" x14ac:dyDescent="0.25">
      <c r="T69" s="7">
        <f>SUM(T17,T19:T22,T25:T28,T30:T34)</f>
        <v>679.5999999999998</v>
      </c>
      <c r="W69" s="7">
        <f>SUM(W17,W19:W22,W25:W28,W30:W34)</f>
        <v>12.200000000000001</v>
      </c>
      <c r="Y69" s="7">
        <f>SUM(Y17,Y19:Y22,Y25:Y28,Y30:Y34)</f>
        <v>262.64000000000004</v>
      </c>
      <c r="AA69" s="7">
        <f>SUM(AA17,AA19:AA22,AA25:AA28,AA30:AA34)</f>
        <v>18.399999999999999</v>
      </c>
      <c r="AC69" s="7">
        <f>SUM(AC17,AC19:AC22,AC25:AC28,AC30:AC34)</f>
        <v>49.25</v>
      </c>
      <c r="AG69" s="7">
        <f>SUM(AG17,AG19:AG22,AG25:AG28,AG30:AG34)</f>
        <v>337.11</v>
      </c>
      <c r="AJ69" s="7">
        <f>SUM(AJ17,AJ19:AJ22,AJ25:AJ28,AJ30:AJ34)</f>
        <v>337.11</v>
      </c>
      <c r="AK69" s="7">
        <f>SUM(AK17,AK19:AK22,AK25:AK28,AK30:AK34)</f>
        <v>52.4</v>
      </c>
      <c r="AM69" s="7">
        <f>SUM(AM17,AM19:AM22,AM25:AM28,AM30:AM34)</f>
        <v>315.04000000000002</v>
      </c>
    </row>
    <row r="70" spans="1:42" x14ac:dyDescent="0.25">
      <c r="Y70" t="s">
        <v>457</v>
      </c>
    </row>
    <row r="71" spans="1:42" s="8" customFormat="1" x14ac:dyDescent="0.25">
      <c r="T71" s="8">
        <f>SUM(T35:T41,T43:T54,T56:T65)</f>
        <v>1120.0000000000002</v>
      </c>
      <c r="Y71" s="8">
        <f>SUM(Y35:Y41,Y43:Y54,Y56:Y65)</f>
        <v>298.68000000000006</v>
      </c>
      <c r="AK71" s="8">
        <f>SUM(AK35:AK65)</f>
        <v>68.599999999999994</v>
      </c>
      <c r="AM71" s="8">
        <f>SUM(AM35:AM65)</f>
        <v>367.28000000000009</v>
      </c>
    </row>
    <row r="75" spans="1:42" x14ac:dyDescent="0.25">
      <c r="AM75">
        <f>SUM(AM59,AM47)</f>
        <v>33.92</v>
      </c>
    </row>
  </sheetData>
  <mergeCells count="7">
    <mergeCell ref="AE1:AJ1"/>
    <mergeCell ref="AK1:AP1"/>
    <mergeCell ref="A1:G1"/>
    <mergeCell ref="H1:N1"/>
    <mergeCell ref="O1:S1"/>
    <mergeCell ref="T1:V1"/>
    <mergeCell ref="W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2026-02-02T04:28:35Z</dcterms:modified>
</cp:coreProperties>
</file>